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p" sheetId="1" state="visible" r:id="rId3"/>
    <sheet name="GL" sheetId="2" state="visible" r:id="rId4"/>
    <sheet name="BvA" sheetId="3" state="visible" r:id="rId5"/>
    <sheet name="Flux" sheetId="4" state="visible" r:id="rId6"/>
    <sheet name="PVM" sheetId="5" state="visible" r:id="rId7"/>
    <sheet name="CostVar" sheetId="6" state="visible" r:id="rId8"/>
    <sheet name="PivotLab" sheetId="7" state="visible" r:id="rId9"/>
    <sheet name="Book" sheetId="8" state="visible" r:id="rId10"/>
    <sheet name="Bank" sheetId="9" state="visible" r:id="rId11"/>
    <sheet name="BankRec" sheetId="10" state="visible" r:id="rId12"/>
    <sheet name="AR" sheetId="11" state="visible" r:id="rId13"/>
    <sheet name="ARSummary" sheetId="12" state="visible" r:id="rId14"/>
    <sheet name="Forecast" sheetId="13" state="visible" r:id="rId15"/>
    <sheet name="Drivers" sheetId="14" state="visible" r:id="rId16"/>
    <sheet name="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<sst xmlns="http://schemas.openxmlformats.org/spreadsheetml/2006/main" count="448" uniqueCount="225">
  <si>
    <t xml:space="preserve">Account</t>
  </si>
  <si>
    <t xml:space="preserve">Type</t>
  </si>
  <si>
    <t xml:space="preserve">PL_Line</t>
  </si>
  <si>
    <t xml:space="preserve">Sign</t>
  </si>
  <si>
    <t xml:space="preserve">Revenue</t>
  </si>
  <si>
    <t xml:space="preserve">Net revenue</t>
  </si>
  <si>
    <t xml:space="preserve">COGS</t>
  </si>
  <si>
    <t xml:space="preserve">Expense</t>
  </si>
  <si>
    <t xml:space="preserve">Cost of sales</t>
  </si>
  <si>
    <t xml:space="preserve">Salaries</t>
  </si>
  <si>
    <t xml:space="preserve">Operating expense</t>
  </si>
  <si>
    <t xml:space="preserve">Marketing</t>
  </si>
  <si>
    <t xml:space="preserve">Rent</t>
  </si>
  <si>
    <t xml:space="preserve">Travel</t>
  </si>
  <si>
    <t xml:space="preserve">Period</t>
  </si>
  <si>
    <t xml:space="preserve">Dept</t>
  </si>
  <si>
    <t xml:space="preserve">Version</t>
  </si>
  <si>
    <t xml:space="preserve">Amount</t>
  </si>
  <si>
    <t xml:space="preserve">2026-08</t>
  </si>
  <si>
    <t xml:space="preserve">Sales</t>
  </si>
  <si>
    <t xml:space="preserve">BUD</t>
  </si>
  <si>
    <t xml:space="preserve">Ops</t>
  </si>
  <si>
    <t xml:space="preserve">ACT</t>
  </si>
  <si>
    <t xml:space="preserve">2026-07</t>
  </si>
  <si>
    <t xml:space="preserve">2025-08</t>
  </si>
  <si>
    <t xml:space="preserve">Report period</t>
  </si>
  <si>
    <t xml:space="preserve">Pct threshold</t>
  </si>
  <si>
    <t xml:space="preserve">Abs threshold</t>
  </si>
  <si>
    <t xml:space="preserve">Budget</t>
  </si>
  <si>
    <t xml:space="preserve">Actual</t>
  </si>
  <si>
    <t xml:space="preserve">Variance</t>
  </si>
  <si>
    <t xml:space="preserve">Var %</t>
  </si>
  <si>
    <t xml:space="preserve">Fav/Unfav</t>
  </si>
  <si>
    <t xml:space="preserve">Needs comment</t>
  </si>
  <si>
    <t xml:space="preserve">Operating income</t>
  </si>
  <si>
    <t xml:space="preserve">Check: mapped actuals minus all GL actuals (should be 0)</t>
  </si>
  <si>
    <t xml:space="preserve">Current period</t>
  </si>
  <si>
    <t xml:space="preserve">Prior month</t>
  </si>
  <si>
    <t xml:space="preserve">Prior year</t>
  </si>
  <si>
    <t xml:space="preserve">Current</t>
  </si>
  <si>
    <t xml:space="preserve">MoM $</t>
  </si>
  <si>
    <t xml:space="preserve">MoM %</t>
  </si>
  <si>
    <t xml:space="preserve">YoY $</t>
  </si>
  <si>
    <t xml:space="preserve">YoY %</t>
  </si>
  <si>
    <t xml:space="preserve">Flag</t>
  </si>
  <si>
    <t xml:space="preserve">Product</t>
  </si>
  <si>
    <t xml:space="preserve">Bud units</t>
  </si>
  <si>
    <t xml:space="preserve">Bud price</t>
  </si>
  <si>
    <t xml:space="preserve">Act units</t>
  </si>
  <si>
    <t xml:space="preserve">Act price</t>
  </si>
  <si>
    <t xml:space="preserve">Bud rev</t>
  </si>
  <si>
    <t xml:space="preserve">Act rev</t>
  </si>
  <si>
    <t xml:space="preserve">Bud mix %</t>
  </si>
  <si>
    <t xml:space="preserve">Act units @ bud mix</t>
  </si>
  <si>
    <t xml:space="preserve">Price var</t>
  </si>
  <si>
    <t xml:space="preserve">Volume var</t>
  </si>
  <si>
    <t xml:space="preserve">Mix var</t>
  </si>
  <si>
    <t xml:space="preserve">Total var</t>
  </si>
  <si>
    <t xml:space="preserve">Check</t>
  </si>
  <si>
    <t xml:space="preserve">Basic</t>
  </si>
  <si>
    <t xml:space="preserve">Pro</t>
  </si>
  <si>
    <t xml:space="preserve">Enterprise</t>
  </si>
  <si>
    <t xml:space="preserve">Total</t>
  </si>
  <si>
    <t xml:space="preserve">Waterfall step</t>
  </si>
  <si>
    <t xml:space="preserve">Budget revenue</t>
  </si>
  <si>
    <t xml:space="preserve">Price</t>
  </si>
  <si>
    <t xml:space="preserve">Volume</t>
  </si>
  <si>
    <t xml:space="preserve">Mix</t>
  </si>
  <si>
    <t xml:space="preserve">Actual revenue</t>
  </si>
  <si>
    <t xml:space="preserve">Part A - Rate / volume (freight)</t>
  </si>
  <si>
    <t xml:space="preserve">Budget shipments</t>
  </si>
  <si>
    <t xml:space="preserve">Budget rate / shipment</t>
  </si>
  <si>
    <t xml:space="preserve">Actual shipments</t>
  </si>
  <si>
    <t xml:space="preserve">Actual rate / shipment</t>
  </si>
  <si>
    <t xml:space="preserve">Budget cost</t>
  </si>
  <si>
    <t xml:space="preserve">Actual cost</t>
  </si>
  <si>
    <t xml:space="preserve">Rate variance</t>
  </si>
  <si>
    <t xml:space="preserve">Volume variance</t>
  </si>
  <si>
    <t xml:space="preserve">Total variance</t>
  </si>
  <si>
    <t xml:space="preserve">Check (should be 0)</t>
  </si>
  <si>
    <t xml:space="preserve">Part B - Flexible budget</t>
  </si>
  <si>
    <t xml:space="preserve">Budget units</t>
  </si>
  <si>
    <t xml:space="preserve">Budget price</t>
  </si>
  <si>
    <t xml:space="preserve">Budget variable cost / unit</t>
  </si>
  <si>
    <t xml:space="preserve">Budget fixed costs</t>
  </si>
  <si>
    <t xml:space="preserve">Actual units</t>
  </si>
  <si>
    <t xml:space="preserve">Actual variable costs</t>
  </si>
  <si>
    <t xml:space="preserve">Actual fixed costs</t>
  </si>
  <si>
    <t xml:space="preserve">Line</t>
  </si>
  <si>
    <t xml:space="preserve">Static budget</t>
  </si>
  <si>
    <t xml:space="preserve">Flexible budget</t>
  </si>
  <si>
    <t xml:space="preserve">Flex-budget variance (Actual - Flex)</t>
  </si>
  <si>
    <t xml:space="preserve">Sales-volume variance (Flex - Static)</t>
  </si>
  <si>
    <t xml:space="preserve">Units</t>
  </si>
  <si>
    <t xml:space="preserve">Variable costs</t>
  </si>
  <si>
    <t xml:space="preserve">Contribution margin</t>
  </si>
  <si>
    <t xml:space="preserve">Fixed costs</t>
  </si>
  <si>
    <t xml:space="preserve">Dept \ Account</t>
  </si>
  <si>
    <t xml:space="preserve">Check: cross-tab total vs BvA actuals (should be 0)</t>
  </si>
  <si>
    <t xml:space="preserve">ID</t>
  </si>
  <si>
    <t xml:space="preserve">Date</t>
  </si>
  <si>
    <t xml:space="preserve">Ref</t>
  </si>
  <si>
    <t xml:space="preserve">Status</t>
  </si>
  <si>
    <t xml:space="preserve">Matched bank ID</t>
  </si>
  <si>
    <t xml:space="preserve">Duplicate?</t>
  </si>
  <si>
    <t xml:space="preserve">B1</t>
  </si>
  <si>
    <t xml:space="preserve">INV1001</t>
  </si>
  <si>
    <t xml:space="preserve">B2</t>
  </si>
  <si>
    <t xml:space="preserve">CHK2201</t>
  </si>
  <si>
    <t xml:space="preserve">B3</t>
  </si>
  <si>
    <t xml:space="preserve">INV1002</t>
  </si>
  <si>
    <t xml:space="preserve">B4</t>
  </si>
  <si>
    <t xml:space="preserve">CHK2202</t>
  </si>
  <si>
    <t xml:space="preserve">B5</t>
  </si>
  <si>
    <t xml:space="preserve">DEP0831</t>
  </si>
  <si>
    <t xml:space="preserve">Matched book ID</t>
  </si>
  <si>
    <t xml:space="preserve">K1</t>
  </si>
  <si>
    <t xml:space="preserve">K2</t>
  </si>
  <si>
    <t xml:space="preserve">K3</t>
  </si>
  <si>
    <t xml:space="preserve">K4</t>
  </si>
  <si>
    <t xml:space="preserve">FEE</t>
  </si>
  <si>
    <t xml:space="preserve">Bank reconciliation - August 2026</t>
  </si>
  <si>
    <t xml:space="preserve">Amount tolerance</t>
  </si>
  <si>
    <t xml:space="preserve">Day tolerance</t>
  </si>
  <si>
    <t xml:space="preserve">Balance per bank statement</t>
  </si>
  <si>
    <t xml:space="preserve">Balance per GL</t>
  </si>
  <si>
    <t xml:space="preserve">BANK SIDE</t>
  </si>
  <si>
    <t xml:space="preserve">Balance per bank</t>
  </si>
  <si>
    <t xml:space="preserve">+ Deposits in transit</t>
  </si>
  <si>
    <t xml:space="preserve">- Outstanding checks</t>
  </si>
  <si>
    <t xml:space="preserve">Adjusted bank balance</t>
  </si>
  <si>
    <t xml:space="preserve">BOOK SIDE</t>
  </si>
  <si>
    <t xml:space="preserve">+/- Bank-only items (fees, interest)</t>
  </si>
  <si>
    <t xml:space="preserve">- Book errors (book minus bank on tolerance matches)</t>
  </si>
  <si>
    <t xml:space="preserve">Adjusted book balance</t>
  </si>
  <si>
    <t xml:space="preserve">Difference</t>
  </si>
  <si>
    <t xml:space="preserve">Journal entry needed (bank fee + short-paid wire)</t>
  </si>
  <si>
    <t xml:space="preserve">Invoice</t>
  </si>
  <si>
    <t xml:space="preserve">Customer</t>
  </si>
  <si>
    <t xml:space="preserve">Due date</t>
  </si>
  <si>
    <t xml:space="preserve">Open amount</t>
  </si>
  <si>
    <t xml:space="preserve">Days past due</t>
  </si>
  <si>
    <t xml:space="preserve">Bucket</t>
  </si>
  <si>
    <t xml:space="preserve">As of</t>
  </si>
  <si>
    <t xml:space="preserve">A1</t>
  </si>
  <si>
    <t xml:space="preserve">Acme</t>
  </si>
  <si>
    <t xml:space="preserve">A2</t>
  </si>
  <si>
    <t xml:space="preserve">Beta</t>
  </si>
  <si>
    <t xml:space="preserve">A3</t>
  </si>
  <si>
    <t xml:space="preserve">A4</t>
  </si>
  <si>
    <t xml:space="preserve">Cyan</t>
  </si>
  <si>
    <t xml:space="preserve">A5</t>
  </si>
  <si>
    <t xml:space="preserve">A6</t>
  </si>
  <si>
    <t xml:space="preserve">% of total</t>
  </si>
  <si>
    <t xml:space="preserve">Reserve %</t>
  </si>
  <si>
    <t xml:space="preserve">Allowance</t>
  </si>
  <si>
    <t xml:space="preserve">1-30</t>
  </si>
  <si>
    <t xml:space="preserve">31-60</t>
  </si>
  <si>
    <t xml:space="preserve">61-90</t>
  </si>
  <si>
    <t xml:space="preserve">90+</t>
  </si>
  <si>
    <t xml:space="preserve">Customer \ Bucket</t>
  </si>
  <si>
    <t xml:space="preserve">GL control account (1200-AR)</t>
  </si>
  <si>
    <t xml:space="preserve">Subledger total</t>
  </si>
  <si>
    <t xml:space="preserve">Difference (investigate)</t>
  </si>
  <si>
    <t xml:space="preserve">Monthly sales history (Jan-2024 to Jun-2026) and forecasts</t>
  </si>
  <si>
    <t xml:space="preserve">Train periods (t &lt;=)</t>
  </si>
  <si>
    <t xml:space="preserve">Month</t>
  </si>
  <si>
    <t xml:space="preserve">t</t>
  </si>
  <si>
    <t xml:space="preserve">MA3</t>
  </si>
  <si>
    <t xml:space="preserve">Month #</t>
  </si>
  <si>
    <t xml:space="preserve">Trend (all)</t>
  </si>
  <si>
    <t xml:space="preserve">Ratio (all)</t>
  </si>
  <si>
    <t xml:space="preserve">Trend (train)</t>
  </si>
  <si>
    <t xml:space="preserve">Ratio (train)</t>
  </si>
  <si>
    <t xml:space="preserve">Raw index (all)</t>
  </si>
  <si>
    <t xml:space="preserve">Seasonal index (all)</t>
  </si>
  <si>
    <t xml:space="preserve">Raw index (train)</t>
  </si>
  <si>
    <t xml:space="preserve">Seasonal index (train)</t>
  </si>
  <si>
    <t xml:space="preserve">Average</t>
  </si>
  <si>
    <t xml:space="preserve">Slope / month</t>
  </si>
  <si>
    <t xml:space="preserve">Intercept</t>
  </si>
  <si>
    <t xml:space="preserve">R-squared</t>
  </si>
  <si>
    <t xml:space="preserve">Linear (FORECAST.LINEAR)</t>
  </si>
  <si>
    <t xml:space="preserve">Linear (TREND)</t>
  </si>
  <si>
    <t xml:space="preserve">Trend x season</t>
  </si>
  <si>
    <t xml:space="preserve">Month (test)</t>
  </si>
  <si>
    <t xml:space="preserve">Model (train trend x train index)</t>
  </si>
  <si>
    <t xml:space="preserve">Seasonal naive (t-12)</t>
  </si>
  <si>
    <t xml:space="preserve">APE model</t>
  </si>
  <si>
    <t xml:space="preserve">APE naive</t>
  </si>
  <si>
    <t xml:space="preserve">MAPE (model)</t>
  </si>
  <si>
    <t xml:space="preserve">Bias (model)</t>
  </si>
  <si>
    <t xml:space="preserve">MAPE (seasonal naive)</t>
  </si>
  <si>
    <t xml:space="preserve">Model beats naive?</t>
  </si>
  <si>
    <t xml:space="preserve">Driver-based subscription revenue forecast</t>
  </si>
  <si>
    <t xml:space="preserve">Driver</t>
  </si>
  <si>
    <t xml:space="preserve">Downside</t>
  </si>
  <si>
    <t xml:space="preserve">Base</t>
  </si>
  <si>
    <t xml:space="preserve">Upside</t>
  </si>
  <si>
    <t xml:space="preserve">Active</t>
  </si>
  <si>
    <t xml:space="preserve">New customers / month</t>
  </si>
  <si>
    <t xml:space="preserve">Monthly churn</t>
  </si>
  <si>
    <t xml:space="preserve">ARPU ($ / month)</t>
  </si>
  <si>
    <t xml:space="preserve">Scenario # (1=Down, 2=Base, 3=Up)</t>
  </si>
  <si>
    <t xml:space="preserve">Active scenario name</t>
  </si>
  <si>
    <t xml:space="preserve">Starting customers</t>
  </si>
  <si>
    <t xml:space="preserve">6-mo total</t>
  </si>
  <si>
    <t xml:space="preserve">Opening customers</t>
  </si>
  <si>
    <t xml:space="preserve">Churned</t>
  </si>
  <si>
    <t xml:space="preserve">New</t>
  </si>
  <si>
    <t xml:space="preserve">Closing customers</t>
  </si>
  <si>
    <t xml:space="preserve">6-mo revenue by scenario (closed form)</t>
  </si>
  <si>
    <t xml:space="preserve">Helper: month index k</t>
  </si>
  <si>
    <t xml:space="preserve">Churn \ ARPU</t>
  </si>
  <si>
    <t xml:space="preserve">Pass?</t>
  </si>
  <si>
    <t xml:space="preserve">Value</t>
  </si>
  <si>
    <t xml:space="preserve">BvA: mapped actuals tie to GL</t>
  </si>
  <si>
    <t xml:space="preserve">PivotLab: cross-tab ties to BvA</t>
  </si>
  <si>
    <t xml:space="preserve">PVM: price+volume+mix = total</t>
  </si>
  <si>
    <t xml:space="preserve">CostVar: rate+volume = total</t>
  </si>
  <si>
    <t xml:space="preserve">BankRec: adjusted balances agree</t>
  </si>
  <si>
    <t xml:space="preserve">Forecast: seasonal index averages 1</t>
  </si>
  <si>
    <t xml:space="preserve">Drivers: schedule = closed form</t>
  </si>
  <si>
    <t xml:space="preserve">ALL CONTROL CHECKS PASS</t>
  </si>
  <si>
    <t xml:space="preserve">Open item (informational): AR subledger vs GL difference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</si>
</sst>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%"/>
    <numFmt numFmtId="166" formatCode="#,##0"/>
    <numFmt numFmtId="167" formatCode="#,##0;\(#,##0\)"/>
    <numFmt numFmtId="168" formatCode="General"/>
    <numFmt numFmtId="169" formatCode="0.00%"/>
    <numFmt numFmtId="170" formatCode="#,##0.00"/>
    <numFmt numFmtId="171" formatCode="#,##0.0;\(#,##0.0\)"/>
    <numFmt numFmtId="172" formatCode="0.00"/>
    <numFmt numFmtId="173" formatCode="yyyy\-mm\-dd"/>
    <numFmt numFmtId="174" formatCode="0"/>
    <numFmt numFmtId="175" formatCode="mmm\-yy"/>
    <numFmt numFmtId="176" formatCode="0.0000"/>
    <numFmt numFmtId="177" formatCode="#,##0.0"/>
    <numFmt numFmtId="178" formatCode="0.000"/>
    <numFmt numFmtId="179" formatCode="\+0.00%;\-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4</v>
      </c>
      <c r="C2" s="0" t="s">
        <v>5</v>
      </c>
      <c r="D2" s="0" t="n">
        <v>1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  <c r="D3" s="0" t="n">
        <v>-1</v>
      </c>
    </row>
    <row r="4" customFormat="false" ht="15" hidden="false" customHeight="false" outlineLevel="0" collapsed="false">
      <c r="A4" s="0" t="s">
        <v>9</v>
      </c>
      <c r="B4" s="0" t="s">
        <v>7</v>
      </c>
      <c r="C4" s="0" t="s">
        <v>10</v>
      </c>
      <c r="D4" s="0" t="n">
        <v>-1</v>
      </c>
    </row>
    <row r="5" customFormat="false" ht="15" hidden="false" customHeight="false" outlineLevel="0" collapsed="false">
      <c r="A5" s="0" t="s">
        <v>11</v>
      </c>
      <c r="B5" s="0" t="s">
        <v>7</v>
      </c>
      <c r="C5" s="0" t="s">
        <v>10</v>
      </c>
      <c r="D5" s="0" t="n">
        <v>-1</v>
      </c>
    </row>
    <row r="6" customFormat="false" ht="15" hidden="false" customHeight="false" outlineLevel="0" collapsed="false">
      <c r="A6" s="0" t="s">
        <v>12</v>
      </c>
      <c r="B6" s="0" t="s">
        <v>7</v>
      </c>
      <c r="C6" s="0" t="s">
        <v>10</v>
      </c>
      <c r="D6" s="0" t="n">
        <v>-1</v>
      </c>
    </row>
    <row r="7" customFormat="false" ht="15" hidden="false" customHeight="false" outlineLevel="0" collapsed="false">
      <c r="A7" s="0" t="s">
        <v>13</v>
      </c>
      <c r="B7" s="0" t="s">
        <v>7</v>
      </c>
      <c r="C7" s="0" t="s">
        <v>10</v>
      </c>
      <c r="D7" s="0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</v>
      </c>
      <c r="B1" s="0" t="s">
        <v>15</v>
      </c>
      <c r="C1" s="0" t="s">
        <v>0</v>
      </c>
      <c r="D1" s="0" t="s">
        <v>16</v>
      </c>
      <c r="E1" s="0" t="s">
        <v>17</v>
      </c>
    </row>
    <row r="2" customFormat="false" ht="15" hidden="false" customHeight="false" outlineLevel="0" collapsed="false">
      <c r="A2" s="0" t="s">
        <v>18</v>
      </c>
      <c r="B2" s="0" t="s">
        <v>19</v>
      </c>
      <c r="C2" s="0" t="s">
        <v>4</v>
      </c>
      <c r="D2" s="0" t="s">
        <v>20</v>
      </c>
      <c r="E2" s="0" t="n">
        <v>300000</v>
      </c>
    </row>
    <row r="3" customFormat="false" ht="15" hidden="false" customHeight="false" outlineLevel="0" collapsed="false">
      <c r="A3" s="0" t="s">
        <v>18</v>
      </c>
      <c r="B3" s="0" t="s">
        <v>21</v>
      </c>
      <c r="C3" s="0" t="s">
        <v>4</v>
      </c>
      <c r="D3" s="0" t="s">
        <v>20</v>
      </c>
      <c r="E3" s="0" t="n">
        <v>200000</v>
      </c>
    </row>
    <row r="4" customFormat="false" ht="15" hidden="false" customHeight="false" outlineLevel="0" collapsed="false">
      <c r="A4" s="0" t="s">
        <v>18</v>
      </c>
      <c r="B4" s="0" t="s">
        <v>21</v>
      </c>
      <c r="C4" s="0" t="s">
        <v>6</v>
      </c>
      <c r="D4" s="0" t="s">
        <v>20</v>
      </c>
      <c r="E4" s="0" t="n">
        <v>200000</v>
      </c>
    </row>
    <row r="5" customFormat="false" ht="15" hidden="false" customHeight="false" outlineLevel="0" collapsed="false">
      <c r="A5" s="0" t="s">
        <v>18</v>
      </c>
      <c r="B5" s="0" t="s">
        <v>19</v>
      </c>
      <c r="C5" s="0" t="s">
        <v>9</v>
      </c>
      <c r="D5" s="0" t="s">
        <v>20</v>
      </c>
      <c r="E5" s="0" t="n">
        <v>70000</v>
      </c>
    </row>
    <row r="6" customFormat="false" ht="15" hidden="false" customHeight="false" outlineLevel="0" collapsed="false">
      <c r="A6" s="0" t="s">
        <v>18</v>
      </c>
      <c r="B6" s="0" t="s">
        <v>21</v>
      </c>
      <c r="C6" s="0" t="s">
        <v>9</v>
      </c>
      <c r="D6" s="0" t="s">
        <v>20</v>
      </c>
      <c r="E6" s="0" t="n">
        <v>50000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11</v>
      </c>
      <c r="D7" s="0" t="s">
        <v>20</v>
      </c>
      <c r="E7" s="0" t="n">
        <v>40000</v>
      </c>
    </row>
    <row r="8" customFormat="false" ht="15" hidden="false" customHeight="false" outlineLevel="0" collapsed="false">
      <c r="A8" s="0" t="s">
        <v>18</v>
      </c>
      <c r="B8" s="0" t="s">
        <v>21</v>
      </c>
      <c r="C8" s="0" t="s">
        <v>12</v>
      </c>
      <c r="D8" s="0" t="s">
        <v>20</v>
      </c>
      <c r="E8" s="0" t="n">
        <v>25000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13</v>
      </c>
      <c r="D9" s="0" t="s">
        <v>20</v>
      </c>
      <c r="E9" s="0" t="n">
        <v>5000</v>
      </c>
    </row>
    <row r="10" customFormat="false" ht="15" hidden="false" customHeight="false" outlineLevel="0" collapsed="false">
      <c r="A10" s="0" t="s">
        <v>18</v>
      </c>
      <c r="B10" s="0" t="s">
        <v>21</v>
      </c>
      <c r="C10" s="0" t="s">
        <v>13</v>
      </c>
      <c r="D10" s="0" t="s">
        <v>20</v>
      </c>
      <c r="E10" s="0" t="n">
        <v>3000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4</v>
      </c>
      <c r="D11" s="0" t="s">
        <v>22</v>
      </c>
      <c r="E11" s="0" t="n">
        <v>270000</v>
      </c>
    </row>
    <row r="12" customFormat="false" ht="15" hidden="false" customHeight="false" outlineLevel="0" collapsed="false">
      <c r="A12" s="0" t="s">
        <v>18</v>
      </c>
      <c r="B12" s="0" t="s">
        <v>21</v>
      </c>
      <c r="C12" s="0" t="s">
        <v>4</v>
      </c>
      <c r="D12" s="0" t="s">
        <v>22</v>
      </c>
      <c r="E12" s="0" t="n">
        <v>198000</v>
      </c>
    </row>
    <row r="13" customFormat="false" ht="15" hidden="false" customHeight="false" outlineLevel="0" collapsed="false">
      <c r="A13" s="0" t="s">
        <v>18</v>
      </c>
      <c r="B13" s="0" t="s">
        <v>21</v>
      </c>
      <c r="C13" s="0" t="s">
        <v>6</v>
      </c>
      <c r="D13" s="0" t="s">
        <v>22</v>
      </c>
      <c r="E13" s="0" t="n">
        <v>191000</v>
      </c>
    </row>
    <row r="14" customFormat="false" ht="15" hidden="false" customHeight="false" outlineLevel="0" collapsed="false">
      <c r="A14" s="0" t="s">
        <v>18</v>
      </c>
      <c r="B14" s="0" t="s">
        <v>19</v>
      </c>
      <c r="C14" s="0" t="s">
        <v>9</v>
      </c>
      <c r="D14" s="0" t="s">
        <v>22</v>
      </c>
      <c r="E14" s="0" t="n">
        <v>72000</v>
      </c>
    </row>
    <row r="15" customFormat="false" ht="15" hidden="false" customHeight="false" outlineLevel="0" collapsed="false">
      <c r="A15" s="0" t="s">
        <v>18</v>
      </c>
      <c r="B15" s="0" t="s">
        <v>21</v>
      </c>
      <c r="C15" s="0" t="s">
        <v>9</v>
      </c>
      <c r="D15" s="0" t="s">
        <v>22</v>
      </c>
      <c r="E15" s="0" t="n">
        <v>52500</v>
      </c>
    </row>
    <row r="16" customFormat="false" ht="15" hidden="false" customHeight="false" outlineLevel="0" collapsed="false">
      <c r="A16" s="0" t="s">
        <v>18</v>
      </c>
      <c r="B16" s="0" t="s">
        <v>19</v>
      </c>
      <c r="C16" s="0" t="s">
        <v>11</v>
      </c>
      <c r="D16" s="0" t="s">
        <v>22</v>
      </c>
      <c r="E16" s="0" t="n">
        <v>52000</v>
      </c>
    </row>
    <row r="17" customFormat="false" ht="15" hidden="false" customHeight="false" outlineLevel="0" collapsed="false">
      <c r="A17" s="0" t="s">
        <v>18</v>
      </c>
      <c r="B17" s="0" t="s">
        <v>21</v>
      </c>
      <c r="C17" s="0" t="s">
        <v>12</v>
      </c>
      <c r="D17" s="0" t="s">
        <v>22</v>
      </c>
      <c r="E17" s="0" t="n">
        <v>25000</v>
      </c>
    </row>
    <row r="18" customFormat="false" ht="15" hidden="false" customHeight="false" outlineLevel="0" collapsed="false">
      <c r="A18" s="0" t="s">
        <v>18</v>
      </c>
      <c r="B18" s="0" t="s">
        <v>19</v>
      </c>
      <c r="C18" s="0" t="s">
        <v>13</v>
      </c>
      <c r="D18" s="0" t="s">
        <v>22</v>
      </c>
      <c r="E18" s="0" t="n">
        <v>3600</v>
      </c>
    </row>
    <row r="19" customFormat="false" ht="15" hidden="false" customHeight="false" outlineLevel="0" collapsed="false">
      <c r="A19" s="0" t="s">
        <v>18</v>
      </c>
      <c r="B19" s="0" t="s">
        <v>21</v>
      </c>
      <c r="C19" s="0" t="s">
        <v>13</v>
      </c>
      <c r="D19" s="0" t="s">
        <v>22</v>
      </c>
      <c r="E19" s="0" t="n">
        <v>1500</v>
      </c>
    </row>
    <row r="20" customFormat="false" ht="15" hidden="false" customHeight="false" outlineLevel="0" collapsed="false">
      <c r="A20" s="0" t="s">
        <v>23</v>
      </c>
      <c r="B20" s="0" t="s">
        <v>19</v>
      </c>
      <c r="C20" s="0" t="s">
        <v>4</v>
      </c>
      <c r="D20" s="0" t="s">
        <v>22</v>
      </c>
      <c r="E20" s="0" t="n">
        <v>262000</v>
      </c>
    </row>
    <row r="21" customFormat="false" ht="15" hidden="false" customHeight="false" outlineLevel="0" collapsed="false">
      <c r="A21" s="0" t="s">
        <v>23</v>
      </c>
      <c r="B21" s="0" t="s">
        <v>21</v>
      </c>
      <c r="C21" s="0" t="s">
        <v>4</v>
      </c>
      <c r="D21" s="0" t="s">
        <v>22</v>
      </c>
      <c r="E21" s="0" t="n">
        <v>193000</v>
      </c>
    </row>
    <row r="22" customFormat="false" ht="15" hidden="false" customHeight="false" outlineLevel="0" collapsed="false">
      <c r="A22" s="0" t="s">
        <v>23</v>
      </c>
      <c r="B22" s="0" t="s">
        <v>21</v>
      </c>
      <c r="C22" s="0" t="s">
        <v>6</v>
      </c>
      <c r="D22" s="0" t="s">
        <v>22</v>
      </c>
      <c r="E22" s="0" t="n">
        <v>186000</v>
      </c>
    </row>
    <row r="23" customFormat="false" ht="15" hidden="false" customHeight="false" outlineLevel="0" collapsed="false">
      <c r="A23" s="0" t="s">
        <v>23</v>
      </c>
      <c r="B23" s="0" t="s">
        <v>19</v>
      </c>
      <c r="C23" s="0" t="s">
        <v>9</v>
      </c>
      <c r="D23" s="0" t="s">
        <v>22</v>
      </c>
      <c r="E23" s="0" t="n">
        <v>70000</v>
      </c>
    </row>
    <row r="24" customFormat="false" ht="15" hidden="false" customHeight="false" outlineLevel="0" collapsed="false">
      <c r="A24" s="0" t="s">
        <v>23</v>
      </c>
      <c r="B24" s="0" t="s">
        <v>21</v>
      </c>
      <c r="C24" s="0" t="s">
        <v>9</v>
      </c>
      <c r="D24" s="0" t="s">
        <v>22</v>
      </c>
      <c r="E24" s="0" t="n">
        <v>51000</v>
      </c>
    </row>
    <row r="25" customFormat="false" ht="15" hidden="false" customHeight="false" outlineLevel="0" collapsed="false">
      <c r="A25" s="0" t="s">
        <v>23</v>
      </c>
      <c r="B25" s="0" t="s">
        <v>19</v>
      </c>
      <c r="C25" s="0" t="s">
        <v>11</v>
      </c>
      <c r="D25" s="0" t="s">
        <v>22</v>
      </c>
      <c r="E25" s="0" t="n">
        <v>39000</v>
      </c>
    </row>
    <row r="26" customFormat="false" ht="15" hidden="false" customHeight="false" outlineLevel="0" collapsed="false">
      <c r="A26" s="0" t="s">
        <v>23</v>
      </c>
      <c r="B26" s="0" t="s">
        <v>21</v>
      </c>
      <c r="C26" s="0" t="s">
        <v>12</v>
      </c>
      <c r="D26" s="0" t="s">
        <v>22</v>
      </c>
      <c r="E26" s="0" t="n">
        <v>25000</v>
      </c>
    </row>
    <row r="27" customFormat="false" ht="15" hidden="false" customHeight="false" outlineLevel="0" collapsed="false">
      <c r="A27" s="0" t="s">
        <v>23</v>
      </c>
      <c r="B27" s="0" t="s">
        <v>19</v>
      </c>
      <c r="C27" s="0" t="s">
        <v>13</v>
      </c>
      <c r="D27" s="0" t="s">
        <v>22</v>
      </c>
      <c r="E27" s="0" t="n">
        <v>4200</v>
      </c>
    </row>
    <row r="28" customFormat="false" ht="15" hidden="false" customHeight="false" outlineLevel="0" collapsed="false">
      <c r="A28" s="0" t="s">
        <v>23</v>
      </c>
      <c r="B28" s="0" t="s">
        <v>21</v>
      </c>
      <c r="C28" s="0" t="s">
        <v>13</v>
      </c>
      <c r="D28" s="0" t="s">
        <v>22</v>
      </c>
      <c r="E28" s="0" t="n">
        <v>2600</v>
      </c>
    </row>
    <row r="29" customFormat="false" ht="15" hidden="false" customHeight="false" outlineLevel="0" collapsed="false">
      <c r="A29" s="0" t="s">
        <v>24</v>
      </c>
      <c r="B29" s="0" t="s">
        <v>19</v>
      </c>
      <c r="C29" s="0" t="s">
        <v>4</v>
      </c>
      <c r="D29" s="0" t="s">
        <v>22</v>
      </c>
      <c r="E29" s="0" t="n">
        <v>250000</v>
      </c>
    </row>
    <row r="30" customFormat="false" ht="15" hidden="false" customHeight="false" outlineLevel="0" collapsed="false">
      <c r="A30" s="0" t="s">
        <v>24</v>
      </c>
      <c r="B30" s="0" t="s">
        <v>21</v>
      </c>
      <c r="C30" s="0" t="s">
        <v>4</v>
      </c>
      <c r="D30" s="0" t="s">
        <v>22</v>
      </c>
      <c r="E30" s="0" t="n">
        <v>180000</v>
      </c>
    </row>
    <row r="31" customFormat="false" ht="15" hidden="false" customHeight="false" outlineLevel="0" collapsed="false">
      <c r="A31" s="0" t="s">
        <v>24</v>
      </c>
      <c r="B31" s="0" t="s">
        <v>21</v>
      </c>
      <c r="C31" s="0" t="s">
        <v>6</v>
      </c>
      <c r="D31" s="0" t="s">
        <v>22</v>
      </c>
      <c r="E31" s="0" t="n">
        <v>176000</v>
      </c>
    </row>
    <row r="32" customFormat="false" ht="15" hidden="false" customHeight="false" outlineLevel="0" collapsed="false">
      <c r="A32" s="0" t="s">
        <v>24</v>
      </c>
      <c r="B32" s="0" t="s">
        <v>19</v>
      </c>
      <c r="C32" s="0" t="s">
        <v>9</v>
      </c>
      <c r="D32" s="0" t="s">
        <v>22</v>
      </c>
      <c r="E32" s="0" t="n">
        <v>64000</v>
      </c>
    </row>
    <row r="33" customFormat="false" ht="15" hidden="false" customHeight="false" outlineLevel="0" collapsed="false">
      <c r="A33" s="0" t="s">
        <v>24</v>
      </c>
      <c r="B33" s="0" t="s">
        <v>21</v>
      </c>
      <c r="C33" s="0" t="s">
        <v>9</v>
      </c>
      <c r="D33" s="0" t="s">
        <v>22</v>
      </c>
      <c r="E33" s="0" t="n">
        <v>46000</v>
      </c>
    </row>
    <row r="34" customFormat="false" ht="15" hidden="false" customHeight="false" outlineLevel="0" collapsed="false">
      <c r="A34" s="0" t="s">
        <v>24</v>
      </c>
      <c r="B34" s="0" t="s">
        <v>19</v>
      </c>
      <c r="C34" s="0" t="s">
        <v>11</v>
      </c>
      <c r="D34" s="0" t="s">
        <v>22</v>
      </c>
      <c r="E34" s="0" t="n">
        <v>35000</v>
      </c>
    </row>
    <row r="35" customFormat="false" ht="15" hidden="false" customHeight="false" outlineLevel="0" collapsed="false">
      <c r="A35" s="0" t="s">
        <v>24</v>
      </c>
      <c r="B35" s="0" t="s">
        <v>21</v>
      </c>
      <c r="C35" s="0" t="s">
        <v>12</v>
      </c>
      <c r="D35" s="0" t="s">
        <v>22</v>
      </c>
      <c r="E35" s="0" t="n">
        <v>23000</v>
      </c>
    </row>
    <row r="36" customFormat="false" ht="15" hidden="false" customHeight="false" outlineLevel="0" collapsed="false">
      <c r="A36" s="0" t="s">
        <v>24</v>
      </c>
      <c r="B36" s="0" t="s">
        <v>19</v>
      </c>
      <c r="C36" s="0" t="s">
        <v>13</v>
      </c>
      <c r="D36" s="0" t="s">
        <v>22</v>
      </c>
      <c r="E36" s="0" t="n">
        <v>4000</v>
      </c>
    </row>
    <row r="37" customFormat="false" ht="15" hidden="false" customHeight="false" outlineLevel="0" collapsed="false">
      <c r="A37" s="0" t="s">
        <v>24</v>
      </c>
      <c r="B37" s="0" t="s">
        <v>21</v>
      </c>
      <c r="C37" s="0" t="s">
        <v>13</v>
      </c>
      <c r="D37" s="0" t="s">
        <v>22</v>
      </c>
      <c r="E37" s="0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25</v>
      </c>
      <c r="B1" s="0" t="s">
        <v>18</v>
      </c>
    </row>
    <row r="2" customFormat="false" ht="15" hidden="false" customHeight="false" outlineLevel="0" collapsed="false">
      <c r="A2" s="0" t="s">
        <v>26</v>
      </c>
      <c r="B2" s="1" t="n">
        <v>0.05</v>
      </c>
    </row>
    <row r="3" customFormat="false" ht="15" hidden="false" customHeight="false" outlineLevel="0" collapsed="false">
      <c r="A3" s="0" t="s">
        <v>27</v>
      </c>
      <c r="B3" s="2" t="n">
        <v>5000</v>
      </c>
    </row>
    <row r="5" customFormat="false" ht="15" hidden="false" customHeight="false" outlineLevel="0" collapsed="false">
      <c r="A5" s="0" t="s">
        <v>0</v>
      </c>
      <c r="B5" s="0" t="s">
        <v>1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</row>
    <row r="6" customFormat="false" ht="15" hidden="false" customHeight="false" outlineLevel="0" collapsed="false">
      <c r="A6" s="0" t="s">
        <v>4</v>
      </c>
      <c r="B6" s="0" t="str">
        <f aca="false">INDEX(Map!$B$2:$B$7,MATCH($A6,Map!$A$2:$A$7,0))</f>
        <v>Revenue</v>
      </c>
      <c r="C6" s="2" t="n">
        <f aca="false">SUMIFS(GL!$E$2:$E$37,GL!$C$2:$C$37,$A6,GL!$D$2:$D$37,"BUD",GL!$A$2:$A$37,$B$1)</f>
        <v>500000</v>
      </c>
      <c r="D6" s="2" t="n">
        <f aca="false">SUMIFS(GL!$E$2:$E$37,GL!$C$2:$C$37,$A6,GL!$D$2:$D$37,"ACT",GL!$A$2:$A$37,$B$1)</f>
        <v>468000</v>
      </c>
      <c r="E6" s="3" t="n">
        <f aca="false">D6-C6</f>
        <v>-32000</v>
      </c>
      <c r="F6" s="1" t="n">
        <f aca="false">IF(C6=0,"n/a",E6/ABS(C6))</f>
        <v>-0.064</v>
      </c>
      <c r="G6" s="0" t="str">
        <f aca="false">IF(D6=C6,"On budget",IF((B6="Revenue")=(D6&gt;C6),"Favorable","Unfavorable"))</f>
        <v>Unfavorable</v>
      </c>
      <c r="H6" s="4" t="b">
        <f aca="false">IF(ISNUMBER(F6),AND(ABS(E6)&gt;=$B$3,ABS(F6)&gt;=$B$2),FALSE())</f>
        <v>1</v>
      </c>
    </row>
    <row r="7" customFormat="false" ht="15" hidden="false" customHeight="false" outlineLevel="0" collapsed="false">
      <c r="A7" s="0" t="s">
        <v>6</v>
      </c>
      <c r="B7" s="0" t="str">
        <f aca="false">INDEX(Map!$B$2:$B$7,MATCH($A7,Map!$A$2:$A$7,0))</f>
        <v>Expense</v>
      </c>
      <c r="C7" s="2" t="n">
        <f aca="false">SUMIFS(GL!$E$2:$E$37,GL!$C$2:$C$37,$A7,GL!$D$2:$D$37,"BUD",GL!$A$2:$A$37,$B$1)</f>
        <v>200000</v>
      </c>
      <c r="D7" s="2" t="n">
        <f aca="false">SUMIFS(GL!$E$2:$E$37,GL!$C$2:$C$37,$A7,GL!$D$2:$D$37,"ACT",GL!$A$2:$A$37,$B$1)</f>
        <v>191000</v>
      </c>
      <c r="E7" s="3" t="n">
        <f aca="false">D7-C7</f>
        <v>-9000</v>
      </c>
      <c r="F7" s="1" t="n">
        <f aca="false">IF(C7=0,"n/a",E7/ABS(C7))</f>
        <v>-0.045</v>
      </c>
      <c r="G7" s="0" t="str">
        <f aca="false">IF(D7=C7,"On budget",IF((B7="Revenue")=(D7&gt;C7),"Favorable","Unfavorable"))</f>
        <v>Favorable</v>
      </c>
      <c r="H7" s="4" t="b">
        <f aca="false">IF(ISNUMBER(F7),AND(ABS(E7)&gt;=$B$3,ABS(F7)&gt;=$B$2),FALSE())</f>
        <v>0</v>
      </c>
    </row>
    <row r="8" customFormat="false" ht="15" hidden="false" customHeight="false" outlineLevel="0" collapsed="false">
      <c r="A8" s="0" t="s">
        <v>9</v>
      </c>
      <c r="B8" s="0" t="str">
        <f aca="false">INDEX(Map!$B$2:$B$7,MATCH($A8,Map!$A$2:$A$7,0))</f>
        <v>Expense</v>
      </c>
      <c r="C8" s="2" t="n">
        <f aca="false">SUMIFS(GL!$E$2:$E$37,GL!$C$2:$C$37,$A8,GL!$D$2:$D$37,"BUD",GL!$A$2:$A$37,$B$1)</f>
        <v>120000</v>
      </c>
      <c r="D8" s="2" t="n">
        <f aca="false">SUMIFS(GL!$E$2:$E$37,GL!$C$2:$C$37,$A8,GL!$D$2:$D$37,"ACT",GL!$A$2:$A$37,$B$1)</f>
        <v>124500</v>
      </c>
      <c r="E8" s="3" t="n">
        <f aca="false">D8-C8</f>
        <v>4500</v>
      </c>
      <c r="F8" s="1" t="n">
        <f aca="false">IF(C8=0,"n/a",E8/ABS(C8))</f>
        <v>0.0375</v>
      </c>
      <c r="G8" s="0" t="str">
        <f aca="false">IF(D8=C8,"On budget",IF((B8="Revenue")=(D8&gt;C8),"Favorable","Unfavorable"))</f>
        <v>Unfavorable</v>
      </c>
      <c r="H8" s="4" t="b">
        <f aca="false">IF(ISNUMBER(F8),AND(ABS(E8)&gt;=$B$3,ABS(F8)&gt;=$B$2),FALSE())</f>
        <v>0</v>
      </c>
    </row>
    <row r="9" customFormat="false" ht="15" hidden="false" customHeight="false" outlineLevel="0" collapsed="false">
      <c r="A9" s="0" t="s">
        <v>11</v>
      </c>
      <c r="B9" s="0" t="str">
        <f aca="false">INDEX(Map!$B$2:$B$7,MATCH($A9,Map!$A$2:$A$7,0))</f>
        <v>Expense</v>
      </c>
      <c r="C9" s="2" t="n">
        <f aca="false">SUMIFS(GL!$E$2:$E$37,GL!$C$2:$C$37,$A9,GL!$D$2:$D$37,"BUD",GL!$A$2:$A$37,$B$1)</f>
        <v>40000</v>
      </c>
      <c r="D9" s="2" t="n">
        <f aca="false">SUMIFS(GL!$E$2:$E$37,GL!$C$2:$C$37,$A9,GL!$D$2:$D$37,"ACT",GL!$A$2:$A$37,$B$1)</f>
        <v>52000</v>
      </c>
      <c r="E9" s="3" t="n">
        <f aca="false">D9-C9</f>
        <v>12000</v>
      </c>
      <c r="F9" s="1" t="n">
        <f aca="false">IF(C9=0,"n/a",E9/ABS(C9))</f>
        <v>0.3</v>
      </c>
      <c r="G9" s="0" t="str">
        <f aca="false">IF(D9=C9,"On budget",IF((B9="Revenue")=(D9&gt;C9),"Favorable","Unfavorable"))</f>
        <v>Unfavorable</v>
      </c>
      <c r="H9" s="4" t="b">
        <f aca="false">IF(ISNUMBER(F9),AND(ABS(E9)&gt;=$B$3,ABS(F9)&gt;=$B$2),FALSE())</f>
        <v>1</v>
      </c>
    </row>
    <row r="10" customFormat="false" ht="15" hidden="false" customHeight="false" outlineLevel="0" collapsed="false">
      <c r="A10" s="0" t="s">
        <v>12</v>
      </c>
      <c r="B10" s="0" t="str">
        <f aca="false">INDEX(Map!$B$2:$B$7,MATCH($A10,Map!$A$2:$A$7,0))</f>
        <v>Expense</v>
      </c>
      <c r="C10" s="2" t="n">
        <f aca="false">SUMIFS(GL!$E$2:$E$37,GL!$C$2:$C$37,$A10,GL!$D$2:$D$37,"BUD",GL!$A$2:$A$37,$B$1)</f>
        <v>25000</v>
      </c>
      <c r="D10" s="2" t="n">
        <f aca="false">SUMIFS(GL!$E$2:$E$37,GL!$C$2:$C$37,$A10,GL!$D$2:$D$37,"ACT",GL!$A$2:$A$37,$B$1)</f>
        <v>25000</v>
      </c>
      <c r="E10" s="3" t="n">
        <f aca="false">D10-C10</f>
        <v>0</v>
      </c>
      <c r="F10" s="1" t="n">
        <f aca="false">IF(C10=0,"n/a",E10/ABS(C10))</f>
        <v>0</v>
      </c>
      <c r="G10" s="0" t="str">
        <f aca="false">IF(D10=C10,"On budget",IF((B10="Revenue")=(D10&gt;C10),"Favorable","Unfavorable"))</f>
        <v>On budget</v>
      </c>
      <c r="H10" s="4" t="b">
        <f aca="false">IF(ISNUMBER(F10),AND(ABS(E10)&gt;=$B$3,ABS(F10)&gt;=$B$2),FALSE())</f>
        <v>0</v>
      </c>
    </row>
    <row r="11" customFormat="false" ht="15" hidden="false" customHeight="false" outlineLevel="0" collapsed="false">
      <c r="A11" s="0" t="s">
        <v>13</v>
      </c>
      <c r="B11" s="0" t="str">
        <f aca="false">INDEX(Map!$B$2:$B$7,MATCH($A11,Map!$A$2:$A$7,0))</f>
        <v>Expense</v>
      </c>
      <c r="C11" s="2" t="n">
        <f aca="false">SUMIFS(GL!$E$2:$E$37,GL!$C$2:$C$37,$A11,GL!$D$2:$D$37,"BUD",GL!$A$2:$A$37,$B$1)</f>
        <v>8000</v>
      </c>
      <c r="D11" s="2" t="n">
        <f aca="false">SUMIFS(GL!$E$2:$E$37,GL!$C$2:$C$37,$A11,GL!$D$2:$D$37,"ACT",GL!$A$2:$A$37,$B$1)</f>
        <v>5100</v>
      </c>
      <c r="E11" s="3" t="n">
        <f aca="false">D11-C11</f>
        <v>-2900</v>
      </c>
      <c r="F11" s="1" t="n">
        <f aca="false">IF(C11=0,"n/a",E11/ABS(C11))</f>
        <v>-0.3625</v>
      </c>
      <c r="G11" s="0" t="str">
        <f aca="false">IF(D11=C11,"On budget",IF((B11="Revenue")=(D11&gt;C11),"Favorable","Unfavorable"))</f>
        <v>Favorable</v>
      </c>
      <c r="H11" s="4" t="b">
        <f aca="false">IF(ISNUMBER(F11),AND(ABS(E11)&gt;=$B$3,ABS(F11)&gt;=$B$2),FALSE())</f>
        <v>0</v>
      </c>
    </row>
    <row r="12" customFormat="false" ht="15" hidden="false" customHeight="false" outlineLevel="0" collapsed="false">
      <c r="A12" s="0" t="s">
        <v>34</v>
      </c>
      <c r="B12" s="0" t="s">
        <v>4</v>
      </c>
      <c r="C12" s="2" t="n">
        <f aca="false">C6-SUM(C7:C11)</f>
        <v>107000</v>
      </c>
      <c r="D12" s="2" t="n">
        <f aca="false">D6-SUM(D7:D11)</f>
        <v>70400</v>
      </c>
      <c r="E12" s="3" t="n">
        <f aca="false">D12-C12</f>
        <v>-36600</v>
      </c>
      <c r="F12" s="1" t="n">
        <f aca="false">IF(C12=0,"n/a",E12/ABS(C12))</f>
        <v>-0.342056074766355</v>
      </c>
      <c r="G12" s="0" t="str">
        <f aca="false">IF(D12=C12,"On budget",IF((B12="Revenue")=(D12&gt;C12),"Favorable","Unfavorable"))</f>
        <v>Unfavorable</v>
      </c>
      <c r="H12" s="4" t="b">
        <f aca="false">IF(ISNUMBER(F12),AND(ABS(E12)&gt;=$B$3,ABS(F12)&gt;=$B$2),FALSE())</f>
        <v>1</v>
      </c>
    </row>
    <row r="14" customFormat="false" ht="15" hidden="false" customHeight="false" outlineLevel="0" collapsed="false">
      <c r="A14" s="0" t="s">
        <v>35</v>
      </c>
      <c r="D14" s="2" t="n">
        <f aca="false">SUM(D6:D11)-SUMIFS(GL!$E$2:$E$37,GL!$D$2:$D$37,"ACT",GL!$A$2:$A$37,$B$1)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36</v>
      </c>
      <c r="B1" s="0" t="s">
        <v>18</v>
      </c>
    </row>
    <row r="2" customFormat="false" ht="15" hidden="false" customHeight="false" outlineLevel="0" collapsed="false">
      <c r="A2" s="0" t="s">
        <v>37</v>
      </c>
      <c r="B2" s="0" t="s">
        <v>23</v>
      </c>
    </row>
    <row r="3" customFormat="false" ht="15" hidden="false" customHeight="false" outlineLevel="0" collapsed="false">
      <c r="A3" s="0" t="s">
        <v>38</v>
      </c>
      <c r="B3" s="0" t="s">
        <v>24</v>
      </c>
    </row>
    <row r="4" customFormat="false" ht="15" hidden="false" customHeight="false" outlineLevel="0" collapsed="false">
      <c r="A4" s="0" t="s">
        <v>26</v>
      </c>
      <c r="B4" s="1" t="n">
        <v>0.1</v>
      </c>
    </row>
    <row r="5" customFormat="false" ht="15" hidden="false" customHeight="false" outlineLevel="0" collapsed="false">
      <c r="A5" s="0" t="s">
        <v>27</v>
      </c>
      <c r="B5" s="2" t="n">
        <v>5000</v>
      </c>
    </row>
    <row r="7" customFormat="false" ht="15" hidden="false" customHeight="false" outlineLevel="0" collapsed="false">
      <c r="A7" s="0" t="s">
        <v>0</v>
      </c>
      <c r="B7" s="0" t="s">
        <v>39</v>
      </c>
      <c r="C7" s="0" t="s">
        <v>37</v>
      </c>
      <c r="D7" s="0" t="s">
        <v>40</v>
      </c>
      <c r="E7" s="0" t="s">
        <v>41</v>
      </c>
      <c r="F7" s="0" t="s">
        <v>38</v>
      </c>
      <c r="G7" s="0" t="s">
        <v>42</v>
      </c>
      <c r="H7" s="0" t="s">
        <v>43</v>
      </c>
      <c r="I7" s="0" t="s">
        <v>44</v>
      </c>
    </row>
    <row r="8" customFormat="false" ht="15" hidden="false" customHeight="false" outlineLevel="0" collapsed="false">
      <c r="A8" s="0" t="s">
        <v>4</v>
      </c>
      <c r="B8" s="2" t="n">
        <f aca="false">SUMIFS(GL!$E$2:$E$37,GL!$C$2:$C$37,$A8,GL!$D$2:$D$37,"ACT",GL!$A$2:$A$37,$B$1)</f>
        <v>468000</v>
      </c>
      <c r="C8" s="2" t="n">
        <f aca="false">SUMIFS(GL!$E$2:$E$37,GL!$C$2:$C$37,$A8,GL!$D$2:$D$37,"ACT",GL!$A$2:$A$37,$B$2)</f>
        <v>455000</v>
      </c>
      <c r="D8" s="3" t="n">
        <f aca="false">B8-C8</f>
        <v>13000</v>
      </c>
      <c r="E8" s="1" t="n">
        <f aca="false">IF(C8=0,"n/a",D8/ABS(C8))</f>
        <v>0.0285714285714286</v>
      </c>
      <c r="F8" s="2" t="n">
        <f aca="false">SUMIFS(GL!$E$2:$E$37,GL!$C$2:$C$37,$A8,GL!$D$2:$D$37,"ACT",GL!$A$2:$A$37,$B$3)</f>
        <v>430000</v>
      </c>
      <c r="G8" s="3" t="n">
        <f aca="false">B8-F8</f>
        <v>38000</v>
      </c>
      <c r="H8" s="1" t="n">
        <f aca="false">IF(F8=0,"n/a",G8/ABS(F8))</f>
        <v>0.0883720930232558</v>
      </c>
      <c r="I8" s="0" t="str">
        <f aca="false">IF(OR(AND(ABS(D8)&gt;=$B$5,ABS(N(E8))&gt;=$B$4),AND(ABS(G8)&gt;=$B$5,ABS(N(H8))&gt;=$B$4)),"Explain","")</f>
        <v/>
      </c>
    </row>
    <row r="9" customFormat="false" ht="15" hidden="false" customHeight="false" outlineLevel="0" collapsed="false">
      <c r="A9" s="0" t="s">
        <v>6</v>
      </c>
      <c r="B9" s="2" t="n">
        <f aca="false">SUMIFS(GL!$E$2:$E$37,GL!$C$2:$C$37,$A9,GL!$D$2:$D$37,"ACT",GL!$A$2:$A$37,$B$1)</f>
        <v>191000</v>
      </c>
      <c r="C9" s="2" t="n">
        <f aca="false">SUMIFS(GL!$E$2:$E$37,GL!$C$2:$C$37,$A9,GL!$D$2:$D$37,"ACT",GL!$A$2:$A$37,$B$2)</f>
        <v>186000</v>
      </c>
      <c r="D9" s="3" t="n">
        <f aca="false">B9-C9</f>
        <v>5000</v>
      </c>
      <c r="E9" s="1" t="n">
        <f aca="false">IF(C9=0,"n/a",D9/ABS(C9))</f>
        <v>0.0268817204301075</v>
      </c>
      <c r="F9" s="2" t="n">
        <f aca="false">SUMIFS(GL!$E$2:$E$37,GL!$C$2:$C$37,$A9,GL!$D$2:$D$37,"ACT",GL!$A$2:$A$37,$B$3)</f>
        <v>176000</v>
      </c>
      <c r="G9" s="3" t="n">
        <f aca="false">B9-F9</f>
        <v>15000</v>
      </c>
      <c r="H9" s="1" t="n">
        <f aca="false">IF(F9=0,"n/a",G9/ABS(F9))</f>
        <v>0.0852272727272727</v>
      </c>
      <c r="I9" s="0" t="str">
        <f aca="false">IF(OR(AND(ABS(D9)&gt;=$B$5,ABS(N(E9))&gt;=$B$4),AND(ABS(G9)&gt;=$B$5,ABS(N(H9))&gt;=$B$4)),"Explain","")</f>
        <v/>
      </c>
    </row>
    <row r="10" customFormat="false" ht="15" hidden="false" customHeight="false" outlineLevel="0" collapsed="false">
      <c r="A10" s="0" t="s">
        <v>9</v>
      </c>
      <c r="B10" s="2" t="n">
        <f aca="false">SUMIFS(GL!$E$2:$E$37,GL!$C$2:$C$37,$A10,GL!$D$2:$D$37,"ACT",GL!$A$2:$A$37,$B$1)</f>
        <v>124500</v>
      </c>
      <c r="C10" s="2" t="n">
        <f aca="false">SUMIFS(GL!$E$2:$E$37,GL!$C$2:$C$37,$A10,GL!$D$2:$D$37,"ACT",GL!$A$2:$A$37,$B$2)</f>
        <v>121000</v>
      </c>
      <c r="D10" s="3" t="n">
        <f aca="false">B10-C10</f>
        <v>3500</v>
      </c>
      <c r="E10" s="1" t="n">
        <f aca="false">IF(C10=0,"n/a",D10/ABS(C10))</f>
        <v>0.0289256198347107</v>
      </c>
      <c r="F10" s="2" t="n">
        <f aca="false">SUMIFS(GL!$E$2:$E$37,GL!$C$2:$C$37,$A10,GL!$D$2:$D$37,"ACT",GL!$A$2:$A$37,$B$3)</f>
        <v>110000</v>
      </c>
      <c r="G10" s="3" t="n">
        <f aca="false">B10-F10</f>
        <v>14500</v>
      </c>
      <c r="H10" s="1" t="n">
        <f aca="false">IF(F10=0,"n/a",G10/ABS(F10))</f>
        <v>0.131818181818182</v>
      </c>
      <c r="I10" s="0" t="str">
        <f aca="false">IF(OR(AND(ABS(D10)&gt;=$B$5,ABS(N(E10))&gt;=$B$4),AND(ABS(G10)&gt;=$B$5,ABS(N(H10))&gt;=$B$4)),"Explain","")</f>
        <v>Explain</v>
      </c>
    </row>
    <row r="11" customFormat="false" ht="15" hidden="false" customHeight="false" outlineLevel="0" collapsed="false">
      <c r="A11" s="0" t="s">
        <v>11</v>
      </c>
      <c r="B11" s="2" t="n">
        <f aca="false">SUMIFS(GL!$E$2:$E$37,GL!$C$2:$C$37,$A11,GL!$D$2:$D$37,"ACT",GL!$A$2:$A$37,$B$1)</f>
        <v>52000</v>
      </c>
      <c r="C11" s="2" t="n">
        <f aca="false">SUMIFS(GL!$E$2:$E$37,GL!$C$2:$C$37,$A11,GL!$D$2:$D$37,"ACT",GL!$A$2:$A$37,$B$2)</f>
        <v>39000</v>
      </c>
      <c r="D11" s="3" t="n">
        <f aca="false">B11-C11</f>
        <v>13000</v>
      </c>
      <c r="E11" s="1" t="n">
        <f aca="false">IF(C11=0,"n/a",D11/ABS(C11))</f>
        <v>0.333333333333333</v>
      </c>
      <c r="F11" s="2" t="n">
        <f aca="false">SUMIFS(GL!$E$2:$E$37,GL!$C$2:$C$37,$A11,GL!$D$2:$D$37,"ACT",GL!$A$2:$A$37,$B$3)</f>
        <v>35000</v>
      </c>
      <c r="G11" s="3" t="n">
        <f aca="false">B11-F11</f>
        <v>17000</v>
      </c>
      <c r="H11" s="1" t="n">
        <f aca="false">IF(F11=0,"n/a",G11/ABS(F11))</f>
        <v>0.485714285714286</v>
      </c>
      <c r="I11" s="0" t="str">
        <f aca="false">IF(OR(AND(ABS(D11)&gt;=$B$5,ABS(N(E11))&gt;=$B$4),AND(ABS(G11)&gt;=$B$5,ABS(N(H11))&gt;=$B$4)),"Explain","")</f>
        <v>Explain</v>
      </c>
    </row>
    <row r="12" customFormat="false" ht="15" hidden="false" customHeight="false" outlineLevel="0" collapsed="false">
      <c r="A12" s="0" t="s">
        <v>12</v>
      </c>
      <c r="B12" s="2" t="n">
        <f aca="false">SUMIFS(GL!$E$2:$E$37,GL!$C$2:$C$37,$A12,GL!$D$2:$D$37,"ACT",GL!$A$2:$A$37,$B$1)</f>
        <v>25000</v>
      </c>
      <c r="C12" s="2" t="n">
        <f aca="false">SUMIFS(GL!$E$2:$E$37,GL!$C$2:$C$37,$A12,GL!$D$2:$D$37,"ACT",GL!$A$2:$A$37,$B$2)</f>
        <v>25000</v>
      </c>
      <c r="D12" s="3" t="n">
        <f aca="false">B12-C12</f>
        <v>0</v>
      </c>
      <c r="E12" s="1" t="n">
        <f aca="false">IF(C12=0,"n/a",D12/ABS(C12))</f>
        <v>0</v>
      </c>
      <c r="F12" s="2" t="n">
        <f aca="false">SUMIFS(GL!$E$2:$E$37,GL!$C$2:$C$37,$A12,GL!$D$2:$D$37,"ACT",GL!$A$2:$A$37,$B$3)</f>
        <v>23000</v>
      </c>
      <c r="G12" s="3" t="n">
        <f aca="false">B12-F12</f>
        <v>2000</v>
      </c>
      <c r="H12" s="1" t="n">
        <f aca="false">IF(F12=0,"n/a",G12/ABS(F12))</f>
        <v>0.0869565217391304</v>
      </c>
      <c r="I12" s="0" t="str">
        <f aca="false">IF(OR(AND(ABS(D12)&gt;=$B$5,ABS(N(E12))&gt;=$B$4),AND(ABS(G12)&gt;=$B$5,ABS(N(H12))&gt;=$B$4)),"Explain","")</f>
        <v/>
      </c>
    </row>
    <row r="13" customFormat="false" ht="15" hidden="false" customHeight="false" outlineLevel="0" collapsed="false">
      <c r="A13" s="0" t="s">
        <v>13</v>
      </c>
      <c r="B13" s="2" t="n">
        <f aca="false">SUMIFS(GL!$E$2:$E$37,GL!$C$2:$C$37,$A13,GL!$D$2:$D$37,"ACT",GL!$A$2:$A$37,$B$1)</f>
        <v>5100</v>
      </c>
      <c r="C13" s="2" t="n">
        <f aca="false">SUMIFS(GL!$E$2:$E$37,GL!$C$2:$C$37,$A13,GL!$D$2:$D$37,"ACT",GL!$A$2:$A$37,$B$2)</f>
        <v>6800</v>
      </c>
      <c r="D13" s="3" t="n">
        <f aca="false">B13-C13</f>
        <v>-1700</v>
      </c>
      <c r="E13" s="1" t="n">
        <f aca="false">IF(C13=0,"n/a",D13/ABS(C13))</f>
        <v>-0.25</v>
      </c>
      <c r="F13" s="2" t="n">
        <f aca="false">SUMIFS(GL!$E$2:$E$37,GL!$C$2:$C$37,$A13,GL!$D$2:$D$37,"ACT",GL!$A$2:$A$37,$B$3)</f>
        <v>7000</v>
      </c>
      <c r="G13" s="3" t="n">
        <f aca="false">B13-F13</f>
        <v>-1900</v>
      </c>
      <c r="H13" s="1" t="n">
        <f aca="false">IF(F13=0,"n/a",G13/ABS(F13))</f>
        <v>-0.271428571428571</v>
      </c>
      <c r="I13" s="0" t="str">
        <f aca="false">IF(OR(AND(ABS(D13)&gt;=$B$5,ABS(N(E13))&gt;=$B$4),AND(ABS(G13)&gt;=$B$5,ABS(N(H13))&gt;=$B$4)),"Explain","")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4" customFormat="false" ht="15" hidden="false" customHeight="false" outlineLevel="0" collapsed="false">
      <c r="A4" s="0" t="s">
        <v>45</v>
      </c>
      <c r="B4" s="0" t="s">
        <v>46</v>
      </c>
      <c r="C4" s="0" t="s">
        <v>47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52</v>
      </c>
      <c r="I4" s="0" t="s">
        <v>53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</row>
    <row r="5" customFormat="false" ht="15" hidden="false" customHeight="false" outlineLevel="0" collapsed="false">
      <c r="A5" s="0" t="s">
        <v>59</v>
      </c>
      <c r="B5" s="0" t="n">
        <v>1000</v>
      </c>
      <c r="C5" s="0" t="n">
        <v>50</v>
      </c>
      <c r="D5" s="0" t="n">
        <v>900</v>
      </c>
      <c r="E5" s="0" t="n">
        <v>52</v>
      </c>
      <c r="F5" s="2" t="n">
        <f aca="false">B5*C5</f>
        <v>50000</v>
      </c>
      <c r="G5" s="2" t="n">
        <f aca="false">D5*E5</f>
        <v>46800</v>
      </c>
      <c r="H5" s="5" t="n">
        <f aca="false">B5/$B$8</f>
        <v>0.625</v>
      </c>
      <c r="I5" s="6" t="n">
        <f aca="false">$D$8*H5</f>
        <v>993.75</v>
      </c>
      <c r="J5" s="7" t="n">
        <f aca="false">(E5-C5)*D5</f>
        <v>1800</v>
      </c>
      <c r="K5" s="7" t="n">
        <f aca="false">(I5-B5)*C5</f>
        <v>-312.5</v>
      </c>
      <c r="L5" s="7" t="n">
        <f aca="false">(D5-I5)*C5</f>
        <v>-4687.5</v>
      </c>
      <c r="M5" s="3" t="n">
        <f aca="false">G5-F5</f>
        <v>-3200</v>
      </c>
      <c r="N5" s="8" t="n">
        <f aca="false">ROUND(J5+K5+L5-M5,6)</f>
        <v>0</v>
      </c>
    </row>
    <row r="6" customFormat="false" ht="15" hidden="false" customHeight="false" outlineLevel="0" collapsed="false">
      <c r="A6" s="0" t="s">
        <v>60</v>
      </c>
      <c r="B6" s="0" t="n">
        <v>500</v>
      </c>
      <c r="C6" s="0" t="n">
        <v>120</v>
      </c>
      <c r="D6" s="0" t="n">
        <v>600</v>
      </c>
      <c r="E6" s="0" t="n">
        <v>115</v>
      </c>
      <c r="F6" s="2" t="n">
        <f aca="false">B6*C6</f>
        <v>60000</v>
      </c>
      <c r="G6" s="2" t="n">
        <f aca="false">D6*E6</f>
        <v>69000</v>
      </c>
      <c r="H6" s="5" t="n">
        <f aca="false">B6/$B$8</f>
        <v>0.3125</v>
      </c>
      <c r="I6" s="6" t="n">
        <f aca="false">$D$8*H6</f>
        <v>496.875</v>
      </c>
      <c r="J6" s="7" t="n">
        <f aca="false">(E6-C6)*D6</f>
        <v>-3000</v>
      </c>
      <c r="K6" s="7" t="n">
        <f aca="false">(I6-B6)*C6</f>
        <v>-375</v>
      </c>
      <c r="L6" s="7" t="n">
        <f aca="false">(D6-I6)*C6</f>
        <v>12375</v>
      </c>
      <c r="M6" s="3" t="n">
        <f aca="false">G6-F6</f>
        <v>9000</v>
      </c>
      <c r="N6" s="8" t="n">
        <f aca="false">ROUND(J6+K6+L6-M6,6)</f>
        <v>0</v>
      </c>
    </row>
    <row r="7" customFormat="false" ht="15" hidden="false" customHeight="false" outlineLevel="0" collapsed="false">
      <c r="A7" s="0" t="s">
        <v>61</v>
      </c>
      <c r="B7" s="0" t="n">
        <v>100</v>
      </c>
      <c r="C7" s="0" t="n">
        <v>400</v>
      </c>
      <c r="D7" s="0" t="n">
        <v>90</v>
      </c>
      <c r="E7" s="0" t="n">
        <v>420</v>
      </c>
      <c r="F7" s="2" t="n">
        <f aca="false">B7*C7</f>
        <v>40000</v>
      </c>
      <c r="G7" s="2" t="n">
        <f aca="false">D7*E7</f>
        <v>37800</v>
      </c>
      <c r="H7" s="5" t="n">
        <f aca="false">B7/$B$8</f>
        <v>0.0625</v>
      </c>
      <c r="I7" s="6" t="n">
        <f aca="false">$D$8*H7</f>
        <v>99.375</v>
      </c>
      <c r="J7" s="7" t="n">
        <f aca="false">(E7-C7)*D7</f>
        <v>1800</v>
      </c>
      <c r="K7" s="7" t="n">
        <f aca="false">(I7-B7)*C7</f>
        <v>-250</v>
      </c>
      <c r="L7" s="7" t="n">
        <f aca="false">(D7-I7)*C7</f>
        <v>-3750</v>
      </c>
      <c r="M7" s="3" t="n">
        <f aca="false">G7-F7</f>
        <v>-2200</v>
      </c>
      <c r="N7" s="8" t="n">
        <f aca="false">ROUND(J7+K7+L7-M7,6)</f>
        <v>0</v>
      </c>
    </row>
    <row r="8" customFormat="false" ht="15" hidden="false" customHeight="false" outlineLevel="0" collapsed="false">
      <c r="A8" s="0" t="s">
        <v>62</v>
      </c>
      <c r="B8" s="0" t="n">
        <f aca="false">SUM(B5:B7)</f>
        <v>1600</v>
      </c>
      <c r="C8" s="9" t="n">
        <f aca="false">F8/B8</f>
        <v>93.75</v>
      </c>
      <c r="D8" s="8" t="n">
        <f aca="false">SUM(D5:D7)</f>
        <v>1590</v>
      </c>
      <c r="E8" s="9" t="n">
        <f aca="false">G8/D8</f>
        <v>96.6037735849057</v>
      </c>
      <c r="F8" s="8" t="n">
        <f aca="false">SUM(F5:F7)</f>
        <v>150000</v>
      </c>
      <c r="G8" s="8" t="n">
        <f aca="false">SUM(G5:G7)</f>
        <v>153600</v>
      </c>
      <c r="H8" s="5" t="n">
        <f aca="false">SUM(H5:H7)</f>
        <v>1</v>
      </c>
      <c r="I8" s="8" t="n">
        <f aca="false">SUM(I5:I7)</f>
        <v>1590</v>
      </c>
      <c r="J8" s="8" t="n">
        <f aca="false">SUM(J5:J7)</f>
        <v>600</v>
      </c>
      <c r="K8" s="8" t="n">
        <f aca="false">SUM(K5:K7)</f>
        <v>-937.5</v>
      </c>
      <c r="L8" s="8" t="n">
        <f aca="false">SUM(L5:L7)</f>
        <v>3937.5</v>
      </c>
      <c r="M8" s="8" t="n">
        <f aca="false">SUM(M5:M7)</f>
        <v>3600</v>
      </c>
      <c r="N8" s="8" t="n">
        <f aca="false">SUM(N5:N7)</f>
        <v>0</v>
      </c>
    </row>
    <row r="10" customFormat="false" ht="15" hidden="false" customHeight="false" outlineLevel="0" collapsed="false">
      <c r="A10" s="0" t="s">
        <v>63</v>
      </c>
      <c r="B10" s="0" t="s">
        <v>17</v>
      </c>
    </row>
    <row r="11" customFormat="false" ht="15" hidden="false" customHeight="false" outlineLevel="0" collapsed="false">
      <c r="A11" s="0" t="s">
        <v>64</v>
      </c>
      <c r="B11" s="7" t="n">
        <f aca="false">F8</f>
        <v>150000</v>
      </c>
    </row>
    <row r="12" customFormat="false" ht="15" hidden="false" customHeight="false" outlineLevel="0" collapsed="false">
      <c r="A12" s="0" t="s">
        <v>65</v>
      </c>
      <c r="B12" s="7" t="n">
        <f aca="false">J8</f>
        <v>600</v>
      </c>
    </row>
    <row r="13" customFormat="false" ht="15" hidden="false" customHeight="false" outlineLevel="0" collapsed="false">
      <c r="A13" s="0" t="s">
        <v>66</v>
      </c>
      <c r="B13" s="7" t="n">
        <f aca="false">K8</f>
        <v>-937.5</v>
      </c>
    </row>
    <row r="14" customFormat="false" ht="15" hidden="false" customHeight="false" outlineLevel="0" collapsed="false">
      <c r="A14" s="0" t="s">
        <v>67</v>
      </c>
      <c r="B14" s="7" t="n">
        <f aca="false">L8</f>
        <v>3937.5</v>
      </c>
    </row>
    <row r="15" customFormat="false" ht="15" hidden="false" customHeight="false" outlineLevel="0" collapsed="false">
      <c r="A15" s="0" t="s">
        <v>68</v>
      </c>
      <c r="B15" s="7" t="n">
        <f aca="false">G8</f>
        <v>153600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69</v>
      </c>
    </row>
    <row r="3" customFormat="false" ht="15" hidden="false" customHeight="false" outlineLevel="0" collapsed="false">
      <c r="A3" s="0" t="s">
        <v>70</v>
      </c>
      <c r="B3" s="0" t="n">
        <v>2000</v>
      </c>
    </row>
    <row r="4" customFormat="false" ht="15" hidden="false" customHeight="false" outlineLevel="0" collapsed="false">
      <c r="A4" s="0" t="s">
        <v>71</v>
      </c>
      <c r="B4" s="0" t="n">
        <v>12</v>
      </c>
    </row>
    <row r="5" customFormat="false" ht="15" hidden="false" customHeight="false" outlineLevel="0" collapsed="false">
      <c r="A5" s="0" t="s">
        <v>72</v>
      </c>
      <c r="B5" s="0" t="n">
        <v>2300</v>
      </c>
    </row>
    <row r="6" customFormat="false" ht="15" hidden="false" customHeight="false" outlineLevel="0" collapsed="false">
      <c r="A6" s="0" t="s">
        <v>73</v>
      </c>
      <c r="B6" s="0" t="n">
        <v>12.5</v>
      </c>
    </row>
    <row r="8" customFormat="false" ht="15" hidden="false" customHeight="false" outlineLevel="0" collapsed="false">
      <c r="A8" s="0" t="s">
        <v>74</v>
      </c>
      <c r="B8" s="3" t="n">
        <f aca="false">B3*B4</f>
        <v>24000</v>
      </c>
    </row>
    <row r="9" customFormat="false" ht="15" hidden="false" customHeight="false" outlineLevel="0" collapsed="false">
      <c r="A9" s="0" t="s">
        <v>75</v>
      </c>
      <c r="B9" s="3" t="n">
        <f aca="false">B5*B6</f>
        <v>28750</v>
      </c>
    </row>
    <row r="10" customFormat="false" ht="15" hidden="false" customHeight="false" outlineLevel="0" collapsed="false">
      <c r="A10" s="0" t="s">
        <v>76</v>
      </c>
      <c r="B10" s="3" t="n">
        <f aca="false">(B6-B4)*B5</f>
        <v>1150</v>
      </c>
      <c r="C10" s="0" t="str">
        <f aca="false">IF(B10&gt;0,"Unfavorable",IF(B10&lt;0,"Favorable","None"))</f>
        <v>Unfavorable</v>
      </c>
    </row>
    <row r="11" customFormat="false" ht="15" hidden="false" customHeight="false" outlineLevel="0" collapsed="false">
      <c r="A11" s="0" t="s">
        <v>77</v>
      </c>
      <c r="B11" s="3" t="n">
        <f aca="false">(B5-B3)*B4</f>
        <v>3600</v>
      </c>
      <c r="C11" s="0" t="str">
        <f aca="false">IF(B11&gt;0,"Unfavorable",IF(B11&lt;0,"Favorable","None"))</f>
        <v>Unfavorable</v>
      </c>
    </row>
    <row r="12" customFormat="false" ht="15" hidden="false" customHeight="false" outlineLevel="0" collapsed="false">
      <c r="A12" s="0" t="s">
        <v>78</v>
      </c>
      <c r="B12" s="3" t="n">
        <f aca="false">B9-B8</f>
        <v>4750</v>
      </c>
      <c r="C12" s="0" t="str">
        <f aca="false">IF(B12&gt;0,"Unfavorable",IF(B12&lt;0,"Favorable","None"))</f>
        <v>Unfavorable</v>
      </c>
    </row>
    <row r="13" customFormat="false" ht="15" hidden="false" customHeight="false" outlineLevel="0" collapsed="false">
      <c r="A13" s="0" t="s">
        <v>79</v>
      </c>
      <c r="B13" s="3" t="n">
        <f aca="false">B10+B11-B12</f>
        <v>0</v>
      </c>
    </row>
    <row r="15" customFormat="false" ht="15" hidden="false" customHeight="false" outlineLevel="0" collapsed="false">
      <c r="A15" s="0" t="s">
        <v>80</v>
      </c>
    </row>
    <row r="17" customFormat="false" ht="15" hidden="false" customHeight="false" outlineLevel="0" collapsed="false">
      <c r="A17" s="0" t="s">
        <v>81</v>
      </c>
      <c r="B17" s="2" t="n">
        <v>10000</v>
      </c>
    </row>
    <row r="18" customFormat="false" ht="15" hidden="false" customHeight="false" outlineLevel="0" collapsed="false">
      <c r="A18" s="0" t="s">
        <v>82</v>
      </c>
      <c r="B18" s="2" t="n">
        <v>20</v>
      </c>
    </row>
    <row r="19" customFormat="false" ht="15" hidden="false" customHeight="false" outlineLevel="0" collapsed="false">
      <c r="A19" s="0" t="s">
        <v>83</v>
      </c>
      <c r="B19" s="2" t="n">
        <v>12</v>
      </c>
    </row>
    <row r="20" customFormat="false" ht="15" hidden="false" customHeight="false" outlineLevel="0" collapsed="false">
      <c r="A20" s="0" t="s">
        <v>84</v>
      </c>
      <c r="B20" s="2" t="n">
        <v>50000</v>
      </c>
    </row>
    <row r="21" customFormat="false" ht="15" hidden="false" customHeight="false" outlineLevel="0" collapsed="false">
      <c r="A21" s="0" t="s">
        <v>85</v>
      </c>
      <c r="B21" s="2" t="n">
        <v>11000</v>
      </c>
    </row>
    <row r="22" customFormat="false" ht="15" hidden="false" customHeight="false" outlineLevel="0" collapsed="false">
      <c r="A22" s="0" t="s">
        <v>68</v>
      </c>
      <c r="B22" s="2" t="n">
        <v>214500</v>
      </c>
    </row>
    <row r="23" customFormat="false" ht="15" hidden="false" customHeight="false" outlineLevel="0" collapsed="false">
      <c r="A23" s="0" t="s">
        <v>86</v>
      </c>
      <c r="B23" s="2" t="n">
        <v>137500</v>
      </c>
    </row>
    <row r="24" customFormat="false" ht="15" hidden="false" customHeight="false" outlineLevel="0" collapsed="false">
      <c r="A24" s="0" t="s">
        <v>87</v>
      </c>
      <c r="B24" s="2" t="n">
        <v>52000</v>
      </c>
    </row>
    <row r="26" customFormat="false" ht="15" hidden="false" customHeight="false" outlineLevel="0" collapsed="false">
      <c r="A26" s="0" t="s">
        <v>88</v>
      </c>
      <c r="B26" s="0" t="s">
        <v>89</v>
      </c>
      <c r="C26" s="0" t="s">
        <v>90</v>
      </c>
      <c r="D26" s="0" t="s">
        <v>29</v>
      </c>
      <c r="E26" s="0" t="s">
        <v>91</v>
      </c>
      <c r="F26" s="0" t="s">
        <v>92</v>
      </c>
    </row>
    <row r="27" customFormat="false" ht="15" hidden="false" customHeight="false" outlineLevel="0" collapsed="false">
      <c r="A27" s="0" t="s">
        <v>93</v>
      </c>
      <c r="B27" s="2" t="n">
        <f aca="false">$B$17</f>
        <v>10000</v>
      </c>
      <c r="C27" s="2" t="n">
        <f aca="false">$B$21</f>
        <v>11000</v>
      </c>
      <c r="D27" s="2" t="n">
        <f aca="false">$B$21</f>
        <v>11000</v>
      </c>
      <c r="E27" s="3" t="n">
        <f aca="false">D27-C27</f>
        <v>0</v>
      </c>
      <c r="F27" s="3" t="n">
        <f aca="false">C27-B27</f>
        <v>1000</v>
      </c>
    </row>
    <row r="28" customFormat="false" ht="15" hidden="false" customHeight="false" outlineLevel="0" collapsed="false">
      <c r="A28" s="0" t="s">
        <v>4</v>
      </c>
      <c r="B28" s="2" t="n">
        <f aca="false">B27*$B$18</f>
        <v>200000</v>
      </c>
      <c r="C28" s="2" t="n">
        <f aca="false">C27*$B$18</f>
        <v>220000</v>
      </c>
      <c r="D28" s="2" t="n">
        <f aca="false">$B$22</f>
        <v>214500</v>
      </c>
      <c r="E28" s="3" t="n">
        <f aca="false">D28-C28</f>
        <v>-5500</v>
      </c>
      <c r="F28" s="3" t="n">
        <f aca="false">C28-B28</f>
        <v>20000</v>
      </c>
    </row>
    <row r="29" customFormat="false" ht="15" hidden="false" customHeight="false" outlineLevel="0" collapsed="false">
      <c r="A29" s="0" t="s">
        <v>94</v>
      </c>
      <c r="B29" s="2" t="n">
        <f aca="false">B27*$B$19</f>
        <v>120000</v>
      </c>
      <c r="C29" s="2" t="n">
        <f aca="false">C27*$B$19</f>
        <v>132000</v>
      </c>
      <c r="D29" s="2" t="n">
        <f aca="false">$B$23</f>
        <v>137500</v>
      </c>
      <c r="E29" s="3" t="n">
        <f aca="false">D29-C29</f>
        <v>5500</v>
      </c>
      <c r="F29" s="3" t="n">
        <f aca="false">C29-B29</f>
        <v>12000</v>
      </c>
    </row>
    <row r="30" customFormat="false" ht="15" hidden="false" customHeight="false" outlineLevel="0" collapsed="false">
      <c r="A30" s="0" t="s">
        <v>95</v>
      </c>
      <c r="B30" s="2" t="n">
        <f aca="false">B28-B29</f>
        <v>80000</v>
      </c>
      <c r="C30" s="2" t="n">
        <f aca="false">C28-C29</f>
        <v>88000</v>
      </c>
      <c r="D30" s="2" t="n">
        <f aca="false">D28-D29</f>
        <v>77000</v>
      </c>
      <c r="E30" s="3" t="n">
        <f aca="false">D30-C30</f>
        <v>-11000</v>
      </c>
      <c r="F30" s="3" t="n">
        <f aca="false">C30-B30</f>
        <v>8000</v>
      </c>
    </row>
    <row r="31" customFormat="false" ht="15" hidden="false" customHeight="false" outlineLevel="0" collapsed="false">
      <c r="A31" s="0" t="s">
        <v>96</v>
      </c>
      <c r="B31" s="2" t="n">
        <f aca="false">$B$20</f>
        <v>50000</v>
      </c>
      <c r="C31" s="2" t="n">
        <f aca="false">$B$20</f>
        <v>50000</v>
      </c>
      <c r="D31" s="2" t="n">
        <f aca="false">$B$24</f>
        <v>52000</v>
      </c>
      <c r="E31" s="3" t="n">
        <f aca="false">D31-C31</f>
        <v>2000</v>
      </c>
      <c r="F31" s="3" t="n">
        <f aca="false">C31-B31</f>
        <v>0</v>
      </c>
    </row>
    <row r="32" customFormat="false" ht="15" hidden="false" customHeight="false" outlineLevel="0" collapsed="false">
      <c r="A32" s="0" t="s">
        <v>34</v>
      </c>
      <c r="B32" s="2" t="n">
        <f aca="false">B30-B31</f>
        <v>30000</v>
      </c>
      <c r="C32" s="2" t="n">
        <f aca="false">C30-C31</f>
        <v>38000</v>
      </c>
      <c r="D32" s="2" t="n">
        <f aca="false">D30-D31</f>
        <v>25000</v>
      </c>
      <c r="E32" s="3" t="n">
        <f aca="false">D32-C32</f>
        <v>-13000</v>
      </c>
      <c r="F32" s="3" t="n">
        <f aca="false">C32-B32</f>
        <v>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14</v>
      </c>
      <c r="B2" s="0" t="s">
        <v>18</v>
      </c>
    </row>
    <row r="3" customFormat="false" ht="15" hidden="false" customHeight="false" outlineLevel="0" collapsed="false">
      <c r="A3" s="0" t="s">
        <v>16</v>
      </c>
      <c r="B3" s="0" t="s">
        <v>22</v>
      </c>
    </row>
    <row r="5" customFormat="false" ht="15" hidden="false" customHeight="false" outlineLevel="0" collapsed="false">
      <c r="A5" s="0" t="s">
        <v>97</v>
      </c>
      <c r="B5" s="0" t="s">
        <v>4</v>
      </c>
      <c r="C5" s="0" t="s">
        <v>6</v>
      </c>
      <c r="D5" s="0" t="s">
        <v>9</v>
      </c>
      <c r="E5" s="0" t="s">
        <v>11</v>
      </c>
      <c r="F5" s="0" t="s">
        <v>12</v>
      </c>
      <c r="G5" s="0" t="s">
        <v>13</v>
      </c>
    </row>
    <row r="6" customFormat="false" ht="15" hidden="false" customHeight="false" outlineLevel="0" collapsed="false">
      <c r="A6" s="0" t="s">
        <v>19</v>
      </c>
      <c r="B6" s="2" t="n">
        <f aca="false">SUMIFS(GL!$E$2:$E$37,GL!$B$2:$B$37,$A6,GL!$C$2:$C$37,B$5,GL!$A$2:$A$37,$B$2,GL!$D$2:$D$37,$B$3)</f>
        <v>270000</v>
      </c>
      <c r="C6" s="2" t="n">
        <f aca="false">SUMIFS(GL!$E$2:$E$37,GL!$B$2:$B$37,$A6,GL!$C$2:$C$37,C$5,GL!$A$2:$A$37,$B$2,GL!$D$2:$D$37,$B$3)</f>
        <v>0</v>
      </c>
      <c r="D6" s="2" t="n">
        <f aca="false">SUMIFS(GL!$E$2:$E$37,GL!$B$2:$B$37,$A6,GL!$C$2:$C$37,D$5,GL!$A$2:$A$37,$B$2,GL!$D$2:$D$37,$B$3)</f>
        <v>72000</v>
      </c>
      <c r="E6" s="2" t="n">
        <f aca="false">SUMIFS(GL!$E$2:$E$37,GL!$B$2:$B$37,$A6,GL!$C$2:$C$37,E$5,GL!$A$2:$A$37,$B$2,GL!$D$2:$D$37,$B$3)</f>
        <v>52000</v>
      </c>
      <c r="F6" s="2" t="n">
        <f aca="false">SUMIFS(GL!$E$2:$E$37,GL!$B$2:$B$37,$A6,GL!$C$2:$C$37,F$5,GL!$A$2:$A$37,$B$2,GL!$D$2:$D$37,$B$3)</f>
        <v>0</v>
      </c>
      <c r="G6" s="2" t="n">
        <f aca="false">SUMIFS(GL!$E$2:$E$37,GL!$B$2:$B$37,$A6,GL!$C$2:$C$37,G$5,GL!$A$2:$A$37,$B$2,GL!$D$2:$D$37,$B$3)</f>
        <v>3600</v>
      </c>
    </row>
    <row r="7" customFormat="false" ht="15" hidden="false" customHeight="false" outlineLevel="0" collapsed="false">
      <c r="A7" s="0" t="s">
        <v>21</v>
      </c>
      <c r="B7" s="2" t="n">
        <f aca="false">SUMIFS(GL!$E$2:$E$37,GL!$B$2:$B$37,$A7,GL!$C$2:$C$37,B$5,GL!$A$2:$A$37,$B$2,GL!$D$2:$D$37,$B$3)</f>
        <v>198000</v>
      </c>
      <c r="C7" s="2" t="n">
        <f aca="false">SUMIFS(GL!$E$2:$E$37,GL!$B$2:$B$37,$A7,GL!$C$2:$C$37,C$5,GL!$A$2:$A$37,$B$2,GL!$D$2:$D$37,$B$3)</f>
        <v>191000</v>
      </c>
      <c r="D7" s="2" t="n">
        <f aca="false">SUMIFS(GL!$E$2:$E$37,GL!$B$2:$B$37,$A7,GL!$C$2:$C$37,D$5,GL!$A$2:$A$37,$B$2,GL!$D$2:$D$37,$B$3)</f>
        <v>52500</v>
      </c>
      <c r="E7" s="2" t="n">
        <f aca="false">SUMIFS(GL!$E$2:$E$37,GL!$B$2:$B$37,$A7,GL!$C$2:$C$37,E$5,GL!$A$2:$A$37,$B$2,GL!$D$2:$D$37,$B$3)</f>
        <v>0</v>
      </c>
      <c r="F7" s="2" t="n">
        <f aca="false">SUMIFS(GL!$E$2:$E$37,GL!$B$2:$B$37,$A7,GL!$C$2:$C$37,F$5,GL!$A$2:$A$37,$B$2,GL!$D$2:$D$37,$B$3)</f>
        <v>25000</v>
      </c>
      <c r="G7" s="2" t="n">
        <f aca="false">SUMIFS(GL!$E$2:$E$37,GL!$B$2:$B$37,$A7,GL!$C$2:$C$37,G$5,GL!$A$2:$A$37,$B$2,GL!$D$2:$D$37,$B$3)</f>
        <v>1500</v>
      </c>
    </row>
    <row r="8" customFormat="false" ht="15" hidden="false" customHeight="false" outlineLevel="0" collapsed="false">
      <c r="A8" s="0" t="s">
        <v>62</v>
      </c>
      <c r="B8" s="2" t="n">
        <f aca="false">SUM(B6:B7)</f>
        <v>468000</v>
      </c>
      <c r="C8" s="2" t="n">
        <f aca="false">SUM(C6:C7)</f>
        <v>191000</v>
      </c>
      <c r="D8" s="2" t="n">
        <f aca="false">SUM(D6:D7)</f>
        <v>124500</v>
      </c>
      <c r="E8" s="2" t="n">
        <f aca="false">SUM(E6:E7)</f>
        <v>52000</v>
      </c>
      <c r="F8" s="2" t="n">
        <f aca="false">SUM(F6:F7)</f>
        <v>25000</v>
      </c>
      <c r="G8" s="2" t="n">
        <f aca="false">SUM(G6:G7)</f>
        <v>5100</v>
      </c>
    </row>
    <row r="10" customFormat="false" ht="15" hidden="false" customHeight="false" outlineLevel="0" collapsed="false">
      <c r="A10" s="0" t="s">
        <v>98</v>
      </c>
      <c r="B10" s="2" t="n">
        <f aca="false">SUM(B8:G8)-SUM(BvA!D6:D11)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99</v>
      </c>
      <c r="B1" s="0" t="s">
        <v>100</v>
      </c>
      <c r="C1" s="0" t="s">
        <v>17</v>
      </c>
      <c r="D1" s="0" t="s">
        <v>101</v>
      </c>
      <c r="E1" s="0" t="s">
        <v>102</v>
      </c>
      <c r="F1" s="0" t="s">
        <v>103</v>
      </c>
      <c r="G1" s="0" t="s">
        <v>104</v>
      </c>
    </row>
    <row r="2" customFormat="false" ht="15" hidden="false" customHeight="false" outlineLevel="0" collapsed="false">
      <c r="A2" s="0" t="s">
        <v>105</v>
      </c>
      <c r="B2" s="10" t="n">
        <v>46236</v>
      </c>
      <c r="C2" s="6" t="n">
        <v>1200</v>
      </c>
      <c r="D2" s="8" t="s">
        <v>106</v>
      </c>
      <c r="E2" s="0" t="str">
        <f aca="false">IF(COUNTIFS(Bank!$D$2:$D$5,$D2,Bank!$C$2:$C$5,$C2)&gt;0,"Exact",IF(F2&lt;&gt;"","Tolerance","Unmatched"))</f>
        <v>Exact</v>
      </c>
      <c r="F2" s="0" t="str">
        <f aca="false">IFERROR(LOOKUP(2,1/((Bank!$D$2:$D$5=$D2)*(ABS(Bank!$C$2:$C$5-$C2)&lt;=BankRec!$B$2)*(ABS(Bank!$B$2:$B$5-$B2)&lt;=BankRec!$B$3)),Bank!$A$2:$A$5),"")</f>
        <v>K1</v>
      </c>
      <c r="G2" s="0" t="str">
        <f aca="false">IF(COUNTIFS($D$2:$D$6,$D2,$C$2:$C$6,$C2)&gt;1,"DUPLICATE","")</f>
        <v/>
      </c>
    </row>
    <row r="3" customFormat="false" ht="15" hidden="false" customHeight="false" outlineLevel="0" collapsed="false">
      <c r="A3" s="0" t="s">
        <v>107</v>
      </c>
      <c r="B3" s="10" t="n">
        <v>46239</v>
      </c>
      <c r="C3" s="6" t="n">
        <v>-350</v>
      </c>
      <c r="D3" s="8" t="s">
        <v>108</v>
      </c>
      <c r="E3" s="0" t="str">
        <f aca="false">IF(COUNTIFS(Bank!$D$2:$D$5,$D3,Bank!$C$2:$C$5,$C3)&gt;0,"Exact",IF(F3&lt;&gt;"","Tolerance","Unmatched"))</f>
        <v>Exact</v>
      </c>
      <c r="F3" s="0" t="str">
        <f aca="false">IFERROR(LOOKUP(2,1/((Bank!$D$2:$D$5=$D3)*(ABS(Bank!$C$2:$C$5-$C3)&lt;=BankRec!$B$2)*(ABS(Bank!$B$2:$B$5-$B3)&lt;=BankRec!$B$3)),Bank!$A$2:$A$5),"")</f>
        <v>K2</v>
      </c>
      <c r="G3" s="0" t="str">
        <f aca="false">IF(COUNTIFS($D$2:$D$6,$D3,$C$2:$C$6,$C3)&gt;1,"DUPLICATE","")</f>
        <v/>
      </c>
    </row>
    <row r="4" customFormat="false" ht="15" hidden="false" customHeight="false" outlineLevel="0" collapsed="false">
      <c r="A4" s="0" t="s">
        <v>109</v>
      </c>
      <c r="B4" s="10" t="n">
        <v>46244</v>
      </c>
      <c r="C4" s="6" t="n">
        <v>4999.5</v>
      </c>
      <c r="D4" s="8" t="s">
        <v>110</v>
      </c>
      <c r="E4" s="0" t="str">
        <f aca="false">IF(COUNTIFS(Bank!$D$2:$D$5,$D4,Bank!$C$2:$C$5,$C4)&gt;0,"Exact",IF(F4&lt;&gt;"","Tolerance","Unmatched"))</f>
        <v>Tolerance</v>
      </c>
      <c r="F4" s="0" t="str">
        <f aca="false">IFERROR(LOOKUP(2,1/((Bank!$D$2:$D$5=$D4)*(ABS(Bank!$C$2:$C$5-$C4)&lt;=BankRec!$B$2)*(ABS(Bank!$B$2:$B$5-$B4)&lt;=BankRec!$B$3)),Bank!$A$2:$A$5),"")</f>
        <v>K3</v>
      </c>
      <c r="G4" s="0" t="str">
        <f aca="false">IF(COUNTIFS($D$2:$D$6,$D4,$C$2:$C$6,$C4)&gt;1,"DUPLICATE","")</f>
        <v/>
      </c>
    </row>
    <row r="5" customFormat="false" ht="15" hidden="false" customHeight="false" outlineLevel="0" collapsed="false">
      <c r="A5" s="0" t="s">
        <v>111</v>
      </c>
      <c r="B5" s="10" t="n">
        <v>46262</v>
      </c>
      <c r="C5" s="6" t="n">
        <v>-2000</v>
      </c>
      <c r="D5" s="8" t="s">
        <v>112</v>
      </c>
      <c r="E5" s="0" t="str">
        <f aca="false">IF(COUNTIFS(Bank!$D$2:$D$5,$D5,Bank!$C$2:$C$5,$C5)&gt;0,"Exact",IF(F5&lt;&gt;"","Tolerance","Unmatched"))</f>
        <v>Unmatched</v>
      </c>
      <c r="F5" s="0" t="str">
        <f aca="false">IFERROR(LOOKUP(2,1/((Bank!$D$2:$D$5=$D5)*(ABS(Bank!$C$2:$C$5-$C5)&lt;=BankRec!$B$2)*(ABS(Bank!$B$2:$B$5-$B5)&lt;=BankRec!$B$3)),Bank!$A$2:$A$5),"")</f>
        <v/>
      </c>
      <c r="G5" s="0" t="str">
        <f aca="false">IF(COUNTIFS($D$2:$D$6,$D5,$C$2:$C$6,$C5)&gt;1,"DUPLICATE","")</f>
        <v/>
      </c>
    </row>
    <row r="6" customFormat="false" ht="15" hidden="false" customHeight="false" outlineLevel="0" collapsed="false">
      <c r="A6" s="0" t="s">
        <v>113</v>
      </c>
      <c r="B6" s="10" t="n">
        <v>46265</v>
      </c>
      <c r="C6" s="6" t="n">
        <v>780</v>
      </c>
      <c r="D6" s="8" t="s">
        <v>114</v>
      </c>
      <c r="E6" s="0" t="str">
        <f aca="false">IF(COUNTIFS(Bank!$D$2:$D$5,$D6,Bank!$C$2:$C$5,$C6)&gt;0,"Exact",IF(F6&lt;&gt;"","Tolerance","Unmatched"))</f>
        <v>Unmatched</v>
      </c>
      <c r="F6" s="0" t="str">
        <f aca="false">IFERROR(LOOKUP(2,1/((Bank!$D$2:$D$5=$D6)*(ABS(Bank!$C$2:$C$5-$C6)&lt;=BankRec!$B$2)*(ABS(Bank!$B$2:$B$5-$B6)&lt;=BankRec!$B$3)),Bank!$A$2:$A$5),"")</f>
        <v/>
      </c>
      <c r="G6" s="0" t="str">
        <f aca="false">IF(COUNTIFS($D$2:$D$6,$D6,$C$2:$C$6,$C6)&gt;1,"DUPLICATE","")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99</v>
      </c>
      <c r="B1" s="0" t="s">
        <v>100</v>
      </c>
      <c r="C1" s="0" t="s">
        <v>17</v>
      </c>
      <c r="D1" s="0" t="s">
        <v>101</v>
      </c>
      <c r="E1" s="0" t="s">
        <v>102</v>
      </c>
      <c r="F1" s="0" t="s">
        <v>115</v>
      </c>
    </row>
    <row r="2" customFormat="false" ht="15" hidden="false" customHeight="false" outlineLevel="0" collapsed="false">
      <c r="A2" s="0" t="s">
        <v>116</v>
      </c>
      <c r="B2" s="10" t="n">
        <v>46237</v>
      </c>
      <c r="C2" s="6" t="n">
        <v>1200</v>
      </c>
      <c r="D2" s="8" t="s">
        <v>106</v>
      </c>
      <c r="E2" s="0" t="str">
        <f aca="false">IF(COUNTIFS(Book!$D$2:$D$6,$D2,Book!$C$2:$C$6,$C2)&gt;0,"Exact",IF(F2&lt;&gt;"","Tolerance","Unmatched"))</f>
        <v>Exact</v>
      </c>
      <c r="F2" s="0" t="str">
        <f aca="false">IFERROR(LOOKUP(2,1/((Book!$D$2:$D$6=$D2)*(ABS(Book!$C$2:$C$6-$C2)&lt;=BankRec!$B$2)*(ABS(Book!$B$2:$B$6-$B2)&lt;=BankRec!$B$3)),Book!$A$2:$A$6),"")</f>
        <v>B1</v>
      </c>
    </row>
    <row r="3" customFormat="false" ht="15" hidden="false" customHeight="false" outlineLevel="0" collapsed="false">
      <c r="A3" s="0" t="s">
        <v>117</v>
      </c>
      <c r="B3" s="10" t="n">
        <v>46241</v>
      </c>
      <c r="C3" s="6" t="n">
        <v>-350</v>
      </c>
      <c r="D3" s="8" t="s">
        <v>108</v>
      </c>
      <c r="E3" s="0" t="str">
        <f aca="false">IF(COUNTIFS(Book!$D$2:$D$6,$D3,Book!$C$2:$C$6,$C3)&gt;0,"Exact",IF(F3&lt;&gt;"","Tolerance","Unmatched"))</f>
        <v>Exact</v>
      </c>
      <c r="F3" s="0" t="str">
        <f aca="false">IFERROR(LOOKUP(2,1/((Book!$D$2:$D$6=$D3)*(ABS(Book!$C$2:$C$6-$C3)&lt;=BankRec!$B$2)*(ABS(Book!$B$2:$B$6-$B3)&lt;=BankRec!$B$3)),Book!$A$2:$A$6),"")</f>
        <v>B2</v>
      </c>
    </row>
    <row r="4" customFormat="false" ht="15" hidden="false" customHeight="false" outlineLevel="0" collapsed="false">
      <c r="A4" s="0" t="s">
        <v>118</v>
      </c>
      <c r="B4" s="10" t="n">
        <v>46245</v>
      </c>
      <c r="C4" s="6" t="n">
        <v>4995</v>
      </c>
      <c r="D4" s="8" t="s">
        <v>110</v>
      </c>
      <c r="E4" s="0" t="str">
        <f aca="false">IF(COUNTIFS(Book!$D$2:$D$6,$D4,Book!$C$2:$C$6,$C4)&gt;0,"Exact",IF(F4&lt;&gt;"","Tolerance","Unmatched"))</f>
        <v>Tolerance</v>
      </c>
      <c r="F4" s="0" t="str">
        <f aca="false">IFERROR(LOOKUP(2,1/((Book!$D$2:$D$6=$D4)*(ABS(Book!$C$2:$C$6-$C4)&lt;=BankRec!$B$2)*(ABS(Book!$B$2:$B$6-$B4)&lt;=BankRec!$B$3)),Book!$A$2:$A$6),"")</f>
        <v>B3</v>
      </c>
    </row>
    <row r="5" customFormat="false" ht="15" hidden="false" customHeight="false" outlineLevel="0" collapsed="false">
      <c r="A5" s="0" t="s">
        <v>119</v>
      </c>
      <c r="B5" s="10" t="n">
        <v>46249</v>
      </c>
      <c r="C5" s="6" t="n">
        <v>-25</v>
      </c>
      <c r="D5" s="8" t="s">
        <v>120</v>
      </c>
      <c r="E5" s="0" t="str">
        <f aca="false">IF(COUNTIFS(Book!$D$2:$D$6,$D5,Book!$C$2:$C$6,$C5)&gt;0,"Exact",IF(F5&lt;&gt;"","Tolerance","Unmatched"))</f>
        <v>Unmatched</v>
      </c>
      <c r="F5" s="0" t="str">
        <f aca="false">IFERROR(LOOKUP(2,1/((Book!$D$2:$D$6=$D5)*(ABS(Book!$C$2:$C$6-$C5)&lt;=BankRec!$B$2)*(ABS(Book!$B$2:$B$6-$B5)&lt;=BankRec!$B$3)),Book!$A$2:$A$6),"")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121</v>
      </c>
    </row>
    <row r="2" customFormat="false" ht="15" hidden="false" customHeight="false" outlineLevel="0" collapsed="false">
      <c r="A2" s="0" t="s">
        <v>122</v>
      </c>
      <c r="B2" s="6" t="n">
        <v>5</v>
      </c>
    </row>
    <row r="3" customFormat="false" ht="15" hidden="false" customHeight="false" outlineLevel="0" collapsed="false">
      <c r="A3" s="0" t="s">
        <v>123</v>
      </c>
      <c r="B3" s="0" t="n">
        <v>3</v>
      </c>
    </row>
    <row r="5" customFormat="false" ht="15" hidden="false" customHeight="false" outlineLevel="0" collapsed="false">
      <c r="A5" s="0" t="s">
        <v>124</v>
      </c>
      <c r="B5" s="6" t="n">
        <v>10000</v>
      </c>
    </row>
    <row r="6" customFormat="false" ht="15" hidden="false" customHeight="false" outlineLevel="0" collapsed="false">
      <c r="A6" s="0" t="s">
        <v>125</v>
      </c>
      <c r="B6" s="6" t="n">
        <v>8809.5</v>
      </c>
    </row>
    <row r="8" customFormat="false" ht="15" hidden="false" customHeight="false" outlineLevel="0" collapsed="false">
      <c r="A8" s="0" t="s">
        <v>126</v>
      </c>
    </row>
    <row r="9" customFormat="false" ht="15" hidden="false" customHeight="false" outlineLevel="0" collapsed="false">
      <c r="A9" s="0" t="s">
        <v>127</v>
      </c>
      <c r="B9" s="6" t="n">
        <f aca="false">B5</f>
        <v>10000</v>
      </c>
    </row>
    <row r="10" customFormat="false" ht="15" hidden="false" customHeight="false" outlineLevel="0" collapsed="false">
      <c r="A10" s="0" t="s">
        <v>128</v>
      </c>
      <c r="B10" s="6" t="n">
        <f aca="false">SUMIFS(Book!$C$2:$C$6,Book!$E$2:$E$6,"Unmatched",Book!$C$2:$C$6,"&gt;0")</f>
        <v>780</v>
      </c>
    </row>
    <row r="11" customFormat="false" ht="15" hidden="false" customHeight="false" outlineLevel="0" collapsed="false">
      <c r="A11" s="0" t="s">
        <v>129</v>
      </c>
      <c r="B11" s="6" t="n">
        <f aca="false">-SUMIFS(Book!$C$2:$C$6,Book!$E$2:$E$6,"Unmatched",Book!$C$2:$C$6,"&lt;0")</f>
        <v>2000</v>
      </c>
    </row>
    <row r="12" customFormat="false" ht="15" hidden="false" customHeight="false" outlineLevel="0" collapsed="false">
      <c r="A12" s="0" t="s">
        <v>130</v>
      </c>
      <c r="B12" s="6" t="n">
        <f aca="false">B9+B10-B11</f>
        <v>8780</v>
      </c>
    </row>
    <row r="13" customFormat="false" ht="15" hidden="false" customHeight="false" outlineLevel="0" collapsed="false">
      <c r="A13" s="0" t="s">
        <v>131</v>
      </c>
    </row>
    <row r="14" customFormat="false" ht="15" hidden="false" customHeight="false" outlineLevel="0" collapsed="false">
      <c r="A14" s="0" t="s">
        <v>125</v>
      </c>
      <c r="B14" s="6" t="n">
        <f aca="false">B6</f>
        <v>8809.5</v>
      </c>
    </row>
    <row r="15" customFormat="false" ht="15" hidden="false" customHeight="false" outlineLevel="0" collapsed="false">
      <c r="A15" s="0" t="s">
        <v>132</v>
      </c>
      <c r="B15" s="6" t="n">
        <f aca="false">SUMIFS(Bank!$C$2:$C$5,Bank!$E$2:$E$5,"Unmatched")</f>
        <v>-25</v>
      </c>
    </row>
    <row r="16" customFormat="false" ht="15" hidden="false" customHeight="false" outlineLevel="0" collapsed="false">
      <c r="A16" s="0" t="s">
        <v>133</v>
      </c>
      <c r="B16" s="6" t="n">
        <f aca="false">SUMIFS(Book!$C$2:$C$6,Book!$E$2:$E$6,"Tolerance")-SUMIFS(Bank!$C$2:$C$5,Bank!$E$2:$E$5,"Tolerance")</f>
        <v>4.5</v>
      </c>
    </row>
    <row r="17" customFormat="false" ht="15" hidden="false" customHeight="false" outlineLevel="0" collapsed="false">
      <c r="A17" s="0" t="s">
        <v>134</v>
      </c>
      <c r="B17" s="6" t="n">
        <f aca="false">B14+B15-B16</f>
        <v>8780</v>
      </c>
    </row>
    <row r="19" customFormat="false" ht="15" hidden="false" customHeight="false" outlineLevel="0" collapsed="false">
      <c r="A19" s="0" t="s">
        <v>135</v>
      </c>
      <c r="B19" s="6" t="n">
        <f aca="false">ROUND(B12-B17,2)</f>
        <v>0</v>
      </c>
    </row>
    <row r="20" customFormat="false" ht="15" hidden="false" customHeight="false" outlineLevel="0" collapsed="false">
      <c r="A20" s="0" t="s">
        <v>102</v>
      </c>
      <c r="B20" s="6" t="str">
        <f aca="false">IF(B19=0,"Reconciled","Difference: "&amp;TEXT(B19,"#,##0.00"))</f>
        <v>Reconciled</v>
      </c>
    </row>
    <row r="22" customFormat="false" ht="15" hidden="false" customHeight="false" outlineLevel="0" collapsed="false">
      <c r="A22" s="0" t="s">
        <v>136</v>
      </c>
      <c r="B22" s="6" t="n">
        <f aca="false">-(B15-B16)</f>
        <v>29.5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137</v>
      </c>
      <c r="B1" s="0" t="s">
        <v>138</v>
      </c>
      <c r="C1" s="0" t="s">
        <v>139</v>
      </c>
      <c r="D1" s="0" t="s">
        <v>140</v>
      </c>
      <c r="E1" s="0" t="s">
        <v>141</v>
      </c>
      <c r="F1" s="0" t="s">
        <v>142</v>
      </c>
      <c r="H1" s="0" t="s">
        <v>143</v>
      </c>
    </row>
    <row r="2" customFormat="false" ht="15" hidden="false" customHeight="false" outlineLevel="0" collapsed="false">
      <c r="A2" s="0" t="s">
        <v>144</v>
      </c>
      <c r="B2" s="0" t="s">
        <v>145</v>
      </c>
      <c r="C2" s="10" t="n">
        <v>46157</v>
      </c>
      <c r="D2" s="0" t="n">
        <v>3000</v>
      </c>
      <c r="E2" s="11" t="n">
        <f aca="false">$H$2-C2</f>
        <v>108</v>
      </c>
      <c r="F2" s="0" t="str">
        <f aca="false">IF(E2&lt;=0,"Current",IF(E2&lt;=30,"1-30",IF(E2&lt;=60,"31-60",IF(E2&lt;=90,"61-90","90+"))))</f>
        <v>90+</v>
      </c>
      <c r="H2" s="10" t="n">
        <v>46265</v>
      </c>
    </row>
    <row r="3" customFormat="false" ht="15" hidden="false" customHeight="false" outlineLevel="0" collapsed="false">
      <c r="A3" s="0" t="s">
        <v>146</v>
      </c>
      <c r="B3" s="0" t="s">
        <v>147</v>
      </c>
      <c r="C3" s="10" t="n">
        <v>46223</v>
      </c>
      <c r="D3" s="0" t="n">
        <v>1500</v>
      </c>
      <c r="E3" s="11" t="n">
        <f aca="false">$H$2-C3</f>
        <v>42</v>
      </c>
      <c r="F3" s="0" t="str">
        <f aca="false">IF(E3&lt;=0,"Current",IF(E3&lt;=30,"1-30",IF(E3&lt;=60,"31-60",IF(E3&lt;=90,"61-90","90+"))))</f>
        <v>31-60</v>
      </c>
    </row>
    <row r="4" customFormat="false" ht="15" hidden="false" customHeight="false" outlineLevel="0" collapsed="false">
      <c r="A4" s="0" t="s">
        <v>148</v>
      </c>
      <c r="B4" s="0" t="s">
        <v>145</v>
      </c>
      <c r="C4" s="10" t="n">
        <v>46259</v>
      </c>
      <c r="D4" s="0" t="n">
        <v>2200</v>
      </c>
      <c r="E4" s="11" t="n">
        <f aca="false">$H$2-C4</f>
        <v>6</v>
      </c>
      <c r="F4" s="0" t="str">
        <f aca="false">IF(E4&lt;=0,"Current",IF(E4&lt;=30,"1-30",IF(E4&lt;=60,"31-60",IF(E4&lt;=90,"61-90","90+"))))</f>
        <v>1-30</v>
      </c>
    </row>
    <row r="5" customFormat="false" ht="15" hidden="false" customHeight="false" outlineLevel="0" collapsed="false">
      <c r="A5" s="0" t="s">
        <v>149</v>
      </c>
      <c r="B5" s="0" t="s">
        <v>150</v>
      </c>
      <c r="C5" s="10" t="n">
        <v>46275</v>
      </c>
      <c r="D5" s="0" t="n">
        <v>900</v>
      </c>
      <c r="E5" s="11" t="n">
        <f aca="false">$H$2-C5</f>
        <v>-10</v>
      </c>
      <c r="F5" s="0" t="str">
        <f aca="false">IF(E5&lt;=0,"Current",IF(E5&lt;=30,"1-30",IF(E5&lt;=60,"31-60",IF(E5&lt;=90,"61-90","90+"))))</f>
        <v>Current</v>
      </c>
    </row>
    <row r="6" customFormat="false" ht="15" hidden="false" customHeight="false" outlineLevel="0" collapsed="false">
      <c r="A6" s="0" t="s">
        <v>151</v>
      </c>
      <c r="B6" s="0" t="s">
        <v>147</v>
      </c>
      <c r="C6" s="10" t="n">
        <v>46198</v>
      </c>
      <c r="D6" s="0" t="n">
        <v>1200</v>
      </c>
      <c r="E6" s="11" t="n">
        <f aca="false">$H$2-C6</f>
        <v>67</v>
      </c>
      <c r="F6" s="0" t="str">
        <f aca="false">IF(E6&lt;=0,"Current",IF(E6&lt;=30,"1-30",IF(E6&lt;=60,"31-60",IF(E6&lt;=90,"61-90","90+"))))</f>
        <v>61-90</v>
      </c>
    </row>
    <row r="7" customFormat="false" ht="15" hidden="false" customHeight="false" outlineLevel="0" collapsed="false">
      <c r="A7" s="0" t="s">
        <v>152</v>
      </c>
      <c r="B7" s="0" t="s">
        <v>150</v>
      </c>
      <c r="C7" s="10" t="n">
        <v>46244</v>
      </c>
      <c r="D7" s="0" t="n">
        <v>650</v>
      </c>
      <c r="E7" s="11" t="n">
        <f aca="false">$H$2-C7</f>
        <v>21</v>
      </c>
      <c r="F7" s="0" t="str">
        <f aca="false">IF(E7&lt;=0,"Current",IF(E7&lt;=30,"1-30",IF(E7&lt;=60,"31-60",IF(E7&lt;=90,"61-90","90+"))))</f>
        <v>1-30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3" customFormat="false" ht="15" hidden="false" customHeight="false" outlineLevel="0" collapsed="false">
      <c r="A3" s="0" t="s">
        <v>142</v>
      </c>
      <c r="B3" s="0" t="s">
        <v>17</v>
      </c>
      <c r="C3" s="0" t="s">
        <v>153</v>
      </c>
      <c r="D3" s="0" t="s">
        <v>154</v>
      </c>
      <c r="E3" s="0" t="s">
        <v>155</v>
      </c>
    </row>
    <row r="4" customFormat="false" ht="15" hidden="false" customHeight="false" outlineLevel="0" collapsed="false">
      <c r="A4" s="0" t="s">
        <v>39</v>
      </c>
      <c r="B4" s="2" t="n">
        <f aca="false">SUMIFS(AR!$D$2:$D$7,AR!$F$2:$F$7,$A4)</f>
        <v>900</v>
      </c>
      <c r="C4" s="1" t="n">
        <f aca="false">B4/$B$9</f>
        <v>0.0952380952380952</v>
      </c>
      <c r="D4" s="1" t="n">
        <v>0.005</v>
      </c>
      <c r="E4" s="6" t="n">
        <f aca="false">B4*D4</f>
        <v>4.5</v>
      </c>
    </row>
    <row r="5" customFormat="false" ht="15" hidden="false" customHeight="false" outlineLevel="0" collapsed="false">
      <c r="A5" s="0" t="s">
        <v>156</v>
      </c>
      <c r="B5" s="2" t="n">
        <f aca="false">SUMIFS(AR!$D$2:$D$7,AR!$F$2:$F$7,$A5)</f>
        <v>2850</v>
      </c>
      <c r="C5" s="1" t="n">
        <f aca="false">B5/$B$9</f>
        <v>0.301587301587302</v>
      </c>
      <c r="D5" s="1" t="n">
        <v>0.02</v>
      </c>
      <c r="E5" s="6" t="n">
        <f aca="false">B5*D5</f>
        <v>57</v>
      </c>
    </row>
    <row r="6" customFormat="false" ht="15" hidden="false" customHeight="false" outlineLevel="0" collapsed="false">
      <c r="A6" s="0" t="s">
        <v>157</v>
      </c>
      <c r="B6" s="2" t="n">
        <f aca="false">SUMIFS(AR!$D$2:$D$7,AR!$F$2:$F$7,$A6)</f>
        <v>1500</v>
      </c>
      <c r="C6" s="1" t="n">
        <f aca="false">B6/$B$9</f>
        <v>0.158730158730159</v>
      </c>
      <c r="D6" s="1" t="n">
        <v>0.05</v>
      </c>
      <c r="E6" s="6" t="n">
        <f aca="false">B6*D6</f>
        <v>75</v>
      </c>
    </row>
    <row r="7" customFormat="false" ht="15" hidden="false" customHeight="false" outlineLevel="0" collapsed="false">
      <c r="A7" s="0" t="s">
        <v>158</v>
      </c>
      <c r="B7" s="2" t="n">
        <f aca="false">SUMIFS(AR!$D$2:$D$7,AR!$F$2:$F$7,$A7)</f>
        <v>1200</v>
      </c>
      <c r="C7" s="1" t="n">
        <f aca="false">B7/$B$9</f>
        <v>0.126984126984127</v>
      </c>
      <c r="D7" s="1" t="n">
        <v>0.15</v>
      </c>
      <c r="E7" s="6" t="n">
        <f aca="false">B7*D7</f>
        <v>180</v>
      </c>
    </row>
    <row r="8" customFormat="false" ht="15" hidden="false" customHeight="false" outlineLevel="0" collapsed="false">
      <c r="A8" s="0" t="s">
        <v>159</v>
      </c>
      <c r="B8" s="2" t="n">
        <f aca="false">SUMIFS(AR!$D$2:$D$7,AR!$F$2:$F$7,$A8)</f>
        <v>3000</v>
      </c>
      <c r="C8" s="1" t="n">
        <f aca="false">B8/$B$9</f>
        <v>0.317460317460317</v>
      </c>
      <c r="D8" s="1" t="n">
        <v>0.5</v>
      </c>
      <c r="E8" s="6" t="n">
        <f aca="false">B8*D8</f>
        <v>1500</v>
      </c>
    </row>
    <row r="9" customFormat="false" ht="15" hidden="false" customHeight="false" outlineLevel="0" collapsed="false">
      <c r="A9" s="0" t="s">
        <v>62</v>
      </c>
      <c r="B9" s="2" t="n">
        <f aca="false">SUM(B4:B8)</f>
        <v>9450</v>
      </c>
      <c r="E9" s="6" t="n">
        <f aca="false">SUMPRODUCT(B4:B8,D4:D8)</f>
        <v>1816.5</v>
      </c>
    </row>
    <row r="11" customFormat="false" ht="15" hidden="false" customHeight="false" outlineLevel="0" collapsed="false">
      <c r="A11" s="0" t="s">
        <v>160</v>
      </c>
      <c r="B11" s="0" t="s">
        <v>39</v>
      </c>
      <c r="C11" s="0" t="s">
        <v>156</v>
      </c>
      <c r="D11" s="0" t="s">
        <v>157</v>
      </c>
      <c r="E11" s="0" t="s">
        <v>158</v>
      </c>
      <c r="F11" s="0" t="s">
        <v>159</v>
      </c>
      <c r="G11" s="0" t="s">
        <v>62</v>
      </c>
    </row>
    <row r="12" customFormat="false" ht="15" hidden="false" customHeight="false" outlineLevel="0" collapsed="false">
      <c r="A12" s="0" t="s">
        <v>145</v>
      </c>
      <c r="B12" s="2" t="n">
        <f aca="false">SUMIFS(AR!$D$2:$D$7,AR!$B$2:$B$7,$A12,AR!$F$2:$F$7,B$11)</f>
        <v>0</v>
      </c>
      <c r="C12" s="2" t="n">
        <f aca="false">SUMIFS(AR!$D$2:$D$7,AR!$B$2:$B$7,$A12,AR!$F$2:$F$7,C$11)</f>
        <v>2200</v>
      </c>
      <c r="D12" s="2" t="n">
        <f aca="false">SUMIFS(AR!$D$2:$D$7,AR!$B$2:$B$7,$A12,AR!$F$2:$F$7,D$11)</f>
        <v>0</v>
      </c>
      <c r="E12" s="2" t="n">
        <f aca="false">SUMIFS(AR!$D$2:$D$7,AR!$B$2:$B$7,$A12,AR!$F$2:$F$7,E$11)</f>
        <v>0</v>
      </c>
      <c r="F12" s="2" t="n">
        <f aca="false">SUMIFS(AR!$D$2:$D$7,AR!$B$2:$B$7,$A12,AR!$F$2:$F$7,F$11)</f>
        <v>3000</v>
      </c>
      <c r="G12" s="2" t="n">
        <f aca="false">SUM(B12:F12)</f>
        <v>5200</v>
      </c>
    </row>
    <row r="13" customFormat="false" ht="15" hidden="false" customHeight="false" outlineLevel="0" collapsed="false">
      <c r="A13" s="0" t="s">
        <v>147</v>
      </c>
      <c r="B13" s="2" t="n">
        <f aca="false">SUMIFS(AR!$D$2:$D$7,AR!$B$2:$B$7,$A13,AR!$F$2:$F$7,B$11)</f>
        <v>0</v>
      </c>
      <c r="C13" s="2" t="n">
        <f aca="false">SUMIFS(AR!$D$2:$D$7,AR!$B$2:$B$7,$A13,AR!$F$2:$F$7,C$11)</f>
        <v>0</v>
      </c>
      <c r="D13" s="2" t="n">
        <f aca="false">SUMIFS(AR!$D$2:$D$7,AR!$B$2:$B$7,$A13,AR!$F$2:$F$7,D$11)</f>
        <v>1500</v>
      </c>
      <c r="E13" s="2" t="n">
        <f aca="false">SUMIFS(AR!$D$2:$D$7,AR!$B$2:$B$7,$A13,AR!$F$2:$F$7,E$11)</f>
        <v>1200</v>
      </c>
      <c r="F13" s="2" t="n">
        <f aca="false">SUMIFS(AR!$D$2:$D$7,AR!$B$2:$B$7,$A13,AR!$F$2:$F$7,F$11)</f>
        <v>0</v>
      </c>
      <c r="G13" s="2" t="n">
        <f aca="false">SUM(B13:F13)</f>
        <v>2700</v>
      </c>
    </row>
    <row r="14" customFormat="false" ht="15" hidden="false" customHeight="false" outlineLevel="0" collapsed="false">
      <c r="A14" s="0" t="s">
        <v>150</v>
      </c>
      <c r="B14" s="2" t="n">
        <f aca="false">SUMIFS(AR!$D$2:$D$7,AR!$B$2:$B$7,$A14,AR!$F$2:$F$7,B$11)</f>
        <v>900</v>
      </c>
      <c r="C14" s="2" t="n">
        <f aca="false">SUMIFS(AR!$D$2:$D$7,AR!$B$2:$B$7,$A14,AR!$F$2:$F$7,C$11)</f>
        <v>650</v>
      </c>
      <c r="D14" s="2" t="n">
        <f aca="false">SUMIFS(AR!$D$2:$D$7,AR!$B$2:$B$7,$A14,AR!$F$2:$F$7,D$11)</f>
        <v>0</v>
      </c>
      <c r="E14" s="2" t="n">
        <f aca="false">SUMIFS(AR!$D$2:$D$7,AR!$B$2:$B$7,$A14,AR!$F$2:$F$7,E$11)</f>
        <v>0</v>
      </c>
      <c r="F14" s="2" t="n">
        <f aca="false">SUMIFS(AR!$D$2:$D$7,AR!$B$2:$B$7,$A14,AR!$F$2:$F$7,F$11)</f>
        <v>0</v>
      </c>
      <c r="G14" s="2" t="n">
        <f aca="false">SUM(B14:F14)</f>
        <v>1550</v>
      </c>
    </row>
    <row r="17" customFormat="false" ht="15" hidden="false" customHeight="false" outlineLevel="0" collapsed="false">
      <c r="A17" s="0" t="s">
        <v>161</v>
      </c>
      <c r="B17" s="2" t="n">
        <v>9550</v>
      </c>
    </row>
    <row r="18" customFormat="false" ht="15" hidden="false" customHeight="false" outlineLevel="0" collapsed="false">
      <c r="A18" s="0" t="s">
        <v>162</v>
      </c>
      <c r="B18" s="2" t="n">
        <f aca="false">SUM(AR!$D$2:$D$7)</f>
        <v>9450</v>
      </c>
    </row>
    <row r="19" customFormat="false" ht="15" hidden="false" customHeight="false" outlineLevel="0" collapsed="false">
      <c r="A19" s="0" t="s">
        <v>163</v>
      </c>
      <c r="B19" s="2" t="n">
        <f aca="false">B17-B18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164</v>
      </c>
    </row>
    <row r="2" customFormat="false" ht="15" hidden="false" customHeight="false" outlineLevel="0" collapsed="false">
      <c r="A2" s="0" t="s">
        <v>165</v>
      </c>
      <c r="B2" s="0" t="n">
        <v>24</v>
      </c>
    </row>
    <row r="4" customFormat="false" ht="15" hidden="false" customHeight="false" outlineLevel="0" collapsed="false">
      <c r="A4" s="0" t="s">
        <v>166</v>
      </c>
      <c r="B4" s="0" t="s">
        <v>167</v>
      </c>
      <c r="C4" s="0" t="s">
        <v>19</v>
      </c>
      <c r="D4" s="0" t="s">
        <v>168</v>
      </c>
      <c r="E4" s="0" t="s">
        <v>169</v>
      </c>
      <c r="F4" s="0" t="s">
        <v>170</v>
      </c>
      <c r="G4" s="0" t="s">
        <v>171</v>
      </c>
      <c r="H4" s="0" t="s">
        <v>172</v>
      </c>
      <c r="I4" s="0" t="s">
        <v>173</v>
      </c>
      <c r="K4" s="0" t="s">
        <v>169</v>
      </c>
      <c r="L4" s="0" t="s">
        <v>174</v>
      </c>
      <c r="M4" s="0" t="s">
        <v>175</v>
      </c>
      <c r="N4" s="0" t="s">
        <v>176</v>
      </c>
      <c r="O4" s="0" t="s">
        <v>177</v>
      </c>
    </row>
    <row r="5" customFormat="false" ht="15" hidden="false" customHeight="false" outlineLevel="0" collapsed="false">
      <c r="A5" s="12" t="n">
        <v>45292</v>
      </c>
      <c r="B5" s="0" t="n">
        <v>1</v>
      </c>
      <c r="C5" s="2" t="n">
        <v>90609</v>
      </c>
      <c r="E5" s="8" t="n">
        <f aca="false">MONTH(A5)</f>
        <v>1</v>
      </c>
      <c r="F5" s="2" t="n">
        <f aca="false">INTERCEPT($C$5:$C$34,$B$5:$B$34)+SLOPE($C$5:$C$34,$B$5:$B$34)*B5</f>
        <v>99689.6623655914</v>
      </c>
      <c r="G5" s="13" t="n">
        <f aca="false">C5/F5</f>
        <v>0.908910691940254</v>
      </c>
      <c r="H5" s="2" t="n">
        <f aca="false">INTERCEPT($C$5:$C$28,$B$5:$B$28)+SLOPE($C$5:$C$28,$B$5:$B$28)*B5</f>
        <v>98072.94</v>
      </c>
      <c r="I5" s="13" t="n">
        <f aca="false">C5/H5</f>
        <v>0.923893991553633</v>
      </c>
      <c r="K5" s="0" t="n">
        <v>1</v>
      </c>
      <c r="L5" s="13" t="n">
        <f aca="false">AVERAGEIFS($G$5:$G$34,$E$5:$E$34,K5)</f>
        <v>0.888502128992342</v>
      </c>
      <c r="M5" s="13" t="n">
        <f aca="false">L5/AVERAGE($L$5:$L$16)</f>
        <v>0.88430453885496</v>
      </c>
      <c r="N5" s="13" t="n">
        <f aca="false">AVERAGEIFS($I$5:$I$34,$E$5:$E$34,K5,$B$5:$B$34,"&lt;="&amp;$B$2)</f>
        <v>0.90165235782279</v>
      </c>
      <c r="O5" s="13" t="n">
        <f aca="false">N5/AVERAGE($N$5:$N$16)</f>
        <v>0.901695042081092</v>
      </c>
    </row>
    <row r="6" customFormat="false" ht="15" hidden="false" customHeight="false" outlineLevel="0" collapsed="false">
      <c r="A6" s="12" t="n">
        <v>45323</v>
      </c>
      <c r="B6" s="0" t="n">
        <v>2</v>
      </c>
      <c r="C6" s="2" t="n">
        <v>91300</v>
      </c>
      <c r="E6" s="8" t="n">
        <f aca="false">MONTH(A6)</f>
        <v>2</v>
      </c>
      <c r="F6" s="2" t="n">
        <f aca="false">INTERCEPT($C$5:$C$34,$B$5:$B$34)+SLOPE($C$5:$C$34,$B$5:$B$34)*B6</f>
        <v>101364.281053022</v>
      </c>
      <c r="G6" s="13" t="n">
        <f aca="false">C6/F6</f>
        <v>0.900711760114419</v>
      </c>
      <c r="H6" s="2" t="n">
        <f aca="false">INTERCEPT($C$5:$C$28,$B$5:$B$28)+SLOPE($C$5:$C$28,$B$5:$B$28)*B6</f>
        <v>99976.2604347826</v>
      </c>
      <c r="I6" s="13" t="n">
        <f aca="false">C6/H6</f>
        <v>0.913216793696316</v>
      </c>
      <c r="K6" s="0" t="n">
        <v>2</v>
      </c>
      <c r="L6" s="13" t="n">
        <f aca="false">AVERAGEIFS($G$5:$G$34,$E$5:$E$34,K6)</f>
        <v>0.904365648500533</v>
      </c>
      <c r="M6" s="13" t="n">
        <f aca="false">L6/AVERAGE($L$5:$L$16)</f>
        <v>0.900093113632172</v>
      </c>
      <c r="N6" s="13" t="n">
        <f aca="false">AVERAGEIFS($I$5:$I$34,$E$5:$E$34,K6,$B$5:$B$34,"&lt;="&amp;$B$2)</f>
        <v>0.913364452596023</v>
      </c>
      <c r="O6" s="13" t="n">
        <f aca="false">N6/AVERAGE($N$5:$N$16)</f>
        <v>0.913407691305355</v>
      </c>
    </row>
    <row r="7" customFormat="false" ht="15" hidden="false" customHeight="false" outlineLevel="0" collapsed="false">
      <c r="A7" s="12" t="n">
        <v>45352</v>
      </c>
      <c r="B7" s="0" t="n">
        <v>3</v>
      </c>
      <c r="C7" s="2" t="n">
        <v>104501</v>
      </c>
      <c r="D7" s="2" t="n">
        <f aca="false">AVERAGE(C5:C7)</f>
        <v>95470</v>
      </c>
      <c r="E7" s="8" t="n">
        <f aca="false">MONTH(A7)</f>
        <v>3</v>
      </c>
      <c r="F7" s="2" t="n">
        <f aca="false">INTERCEPT($C$5:$C$34,$B$5:$B$34)+SLOPE($C$5:$C$34,$B$5:$B$34)*B7</f>
        <v>103038.899740452</v>
      </c>
      <c r="G7" s="13" t="n">
        <f aca="false">C7/F7</f>
        <v>1.01418978913042</v>
      </c>
      <c r="H7" s="2" t="n">
        <f aca="false">INTERCEPT($C$5:$C$28,$B$5:$B$28)+SLOPE($C$5:$C$28,$B$5:$B$28)*B7</f>
        <v>101879.580869565</v>
      </c>
      <c r="I7" s="13" t="n">
        <f aca="false">C7/H7</f>
        <v>1.0257305645357</v>
      </c>
      <c r="K7" s="0" t="n">
        <v>3</v>
      </c>
      <c r="L7" s="13" t="n">
        <f aca="false">AVERAGEIFS($G$5:$G$34,$E$5:$E$34,K7)</f>
        <v>0.994118072395461</v>
      </c>
      <c r="M7" s="13" t="n">
        <f aca="false">L7/AVERAGE($L$5:$L$16)</f>
        <v>0.989421516157815</v>
      </c>
      <c r="N7" s="13" t="n">
        <f aca="false">AVERAGEIFS($I$5:$I$34,$E$5:$E$34,K7,$B$5:$B$34,"&lt;="&amp;$B$2)</f>
        <v>1.00170252208559</v>
      </c>
      <c r="O7" s="13" t="n">
        <f aca="false">N7/AVERAGE($N$5:$N$16)</f>
        <v>1.00174994272263</v>
      </c>
    </row>
    <row r="8" customFormat="false" ht="15" hidden="false" customHeight="false" outlineLevel="0" collapsed="false">
      <c r="A8" s="12" t="n">
        <v>45383</v>
      </c>
      <c r="B8" s="0" t="n">
        <v>4</v>
      </c>
      <c r="C8" s="2" t="n">
        <v>108471</v>
      </c>
      <c r="D8" s="2" t="n">
        <f aca="false">AVERAGE(C6:C8)</f>
        <v>101424</v>
      </c>
      <c r="E8" s="8" t="n">
        <f aca="false">MONTH(A8)</f>
        <v>4</v>
      </c>
      <c r="F8" s="2" t="n">
        <f aca="false">INTERCEPT($C$5:$C$34,$B$5:$B$34)+SLOPE($C$5:$C$34,$B$5:$B$34)*B8</f>
        <v>104713.518427883</v>
      </c>
      <c r="G8" s="13" t="n">
        <f aca="false">C8/F8</f>
        <v>1.03588344302178</v>
      </c>
      <c r="H8" s="2" t="n">
        <f aca="false">INTERCEPT($C$5:$C$28,$B$5:$B$28)+SLOPE($C$5:$C$28,$B$5:$B$28)*B8</f>
        <v>103782.901304348</v>
      </c>
      <c r="I8" s="13" t="n">
        <f aca="false">C8/H8</f>
        <v>1.04517216840859</v>
      </c>
      <c r="K8" s="0" t="n">
        <v>4</v>
      </c>
      <c r="L8" s="13" t="n">
        <f aca="false">AVERAGEIFS($G$5:$G$34,$E$5:$E$34,K8)</f>
        <v>1.00576079773131</v>
      </c>
      <c r="M8" s="13" t="n">
        <f aca="false">L8/AVERAGE($L$5:$L$16)</f>
        <v>1.00100923724838</v>
      </c>
      <c r="N8" s="13" t="n">
        <f aca="false">AVERAGEIFS($I$5:$I$34,$E$5:$E$34,K8,$B$5:$B$34,"&lt;="&amp;$B$2)</f>
        <v>1.00919296718974</v>
      </c>
      <c r="O8" s="13" t="n">
        <f aca="false">N8/AVERAGE($N$5:$N$16)</f>
        <v>1.00924074242475</v>
      </c>
    </row>
    <row r="9" customFormat="false" ht="15" hidden="false" customHeight="false" outlineLevel="0" collapsed="false">
      <c r="A9" s="12" t="n">
        <v>45413</v>
      </c>
      <c r="B9" s="0" t="n">
        <v>5</v>
      </c>
      <c r="C9" s="2" t="n">
        <v>107398</v>
      </c>
      <c r="D9" s="2" t="n">
        <f aca="false">AVERAGE(C7:C9)</f>
        <v>106790</v>
      </c>
      <c r="E9" s="8" t="n">
        <f aca="false">MONTH(A9)</f>
        <v>5</v>
      </c>
      <c r="F9" s="2" t="n">
        <f aca="false">INTERCEPT($C$5:$C$34,$B$5:$B$34)+SLOPE($C$5:$C$34,$B$5:$B$34)*B9</f>
        <v>106388.137115313</v>
      </c>
      <c r="G9" s="13" t="n">
        <f aca="false">C9/F9</f>
        <v>1.00949225084741</v>
      </c>
      <c r="H9" s="2" t="n">
        <f aca="false">INTERCEPT($C$5:$C$28,$B$5:$B$28)+SLOPE($C$5:$C$28,$B$5:$B$28)*B9</f>
        <v>105686.22173913</v>
      </c>
      <c r="I9" s="13" t="n">
        <f aca="false">C9/H9</f>
        <v>1.0161967968265</v>
      </c>
      <c r="K9" s="0" t="n">
        <v>5</v>
      </c>
      <c r="L9" s="13" t="n">
        <f aca="false">AVERAGEIFS($G$5:$G$34,$E$5:$E$34,K9)</f>
        <v>1.0225123874116</v>
      </c>
      <c r="M9" s="13" t="n">
        <f aca="false">L9/AVERAGE($L$5:$L$16)</f>
        <v>1.01768168664826</v>
      </c>
      <c r="N9" s="13" t="n">
        <f aca="false">AVERAGEIFS($I$5:$I$34,$E$5:$E$34,K9,$B$5:$B$34,"&lt;="&amp;$B$2)</f>
        <v>1.0174814484847</v>
      </c>
      <c r="O9" s="13" t="n">
        <f aca="false">N9/AVERAGE($N$5:$N$16)</f>
        <v>1.01752961609674</v>
      </c>
    </row>
    <row r="10" customFormat="false" ht="15" hidden="false" customHeight="false" outlineLevel="0" collapsed="false">
      <c r="A10" s="12" t="n">
        <v>45444</v>
      </c>
      <c r="B10" s="0" t="n">
        <v>6</v>
      </c>
      <c r="C10" s="2" t="n">
        <v>115646</v>
      </c>
      <c r="D10" s="2" t="n">
        <f aca="false">AVERAGE(C8:C10)</f>
        <v>110505</v>
      </c>
      <c r="E10" s="8" t="n">
        <f aca="false">MONTH(A10)</f>
        <v>6</v>
      </c>
      <c r="F10" s="2" t="n">
        <f aca="false">INTERCEPT($C$5:$C$34,$B$5:$B$34)+SLOPE($C$5:$C$34,$B$5:$B$34)*B10</f>
        <v>108062.755802744</v>
      </c>
      <c r="G10" s="13" t="n">
        <f aca="false">C10/F10</f>
        <v>1.07017444762466</v>
      </c>
      <c r="H10" s="2" t="n">
        <f aca="false">INTERCEPT($C$5:$C$28,$B$5:$B$28)+SLOPE($C$5:$C$28,$B$5:$B$28)*B10</f>
        <v>107589.542173913</v>
      </c>
      <c r="I10" s="13" t="n">
        <f aca="false">C10/H10</f>
        <v>1.07488142121717</v>
      </c>
      <c r="K10" s="0" t="n">
        <v>6</v>
      </c>
      <c r="L10" s="13" t="n">
        <f aca="false">AVERAGEIFS($G$5:$G$34,$E$5:$E$34,K10)</f>
        <v>1.06764566104054</v>
      </c>
      <c r="M10" s="13" t="n">
        <f aca="false">L10/AVERAGE($L$5:$L$16)</f>
        <v>1.06260173514462</v>
      </c>
      <c r="N10" s="13" t="n">
        <f aca="false">AVERAGEIFS($I$5:$I$34,$E$5:$E$34,K10,$B$5:$B$34,"&lt;="&amp;$B$2)</f>
        <v>1.05930162984907</v>
      </c>
      <c r="O10" s="13" t="n">
        <f aca="false">N10/AVERAGE($N$5:$N$16)</f>
        <v>1.05935177723015</v>
      </c>
    </row>
    <row r="11" customFormat="false" ht="15" hidden="false" customHeight="false" outlineLevel="0" collapsed="false">
      <c r="A11" s="12" t="n">
        <v>45474</v>
      </c>
      <c r="B11" s="0" t="n">
        <v>7</v>
      </c>
      <c r="C11" s="2" t="n">
        <v>117976</v>
      </c>
      <c r="D11" s="2" t="n">
        <f aca="false">AVERAGE(C9:C11)</f>
        <v>113673.333333333</v>
      </c>
      <c r="E11" s="8" t="n">
        <f aca="false">MONTH(A11)</f>
        <v>7</v>
      </c>
      <c r="F11" s="2" t="n">
        <f aca="false">INTERCEPT($C$5:$C$34,$B$5:$B$34)+SLOPE($C$5:$C$34,$B$5:$B$34)*B11</f>
        <v>109737.374490174</v>
      </c>
      <c r="G11" s="13" t="n">
        <f aca="false">C11/F11</f>
        <v>1.07507583945854</v>
      </c>
      <c r="H11" s="2" t="n">
        <f aca="false">INTERCEPT($C$5:$C$28,$B$5:$B$28)+SLOPE($C$5:$C$28,$B$5:$B$28)*B11</f>
        <v>109492.862608696</v>
      </c>
      <c r="I11" s="13" t="n">
        <f aca="false">C11/H11</f>
        <v>1.07747662440447</v>
      </c>
      <c r="K11" s="0" t="n">
        <v>7</v>
      </c>
      <c r="L11" s="13" t="n">
        <f aca="false">AVERAGEIFS($G$5:$G$34,$E$5:$E$34,K11)</f>
        <v>1.07252215078978</v>
      </c>
      <c r="M11" s="13" t="n">
        <f aca="false">L11/AVERAGE($L$5:$L$16)</f>
        <v>1.06745518667639</v>
      </c>
      <c r="N11" s="13" t="n">
        <f aca="false">AVERAGEIFS($I$5:$I$34,$E$5:$E$34,K11,$B$5:$B$34,"&lt;="&amp;$B$2)</f>
        <v>1.06361610803245</v>
      </c>
      <c r="O11" s="13" t="n">
        <f aca="false">N11/AVERAGE($N$5:$N$16)</f>
        <v>1.06366645966109</v>
      </c>
    </row>
    <row r="12" customFormat="false" ht="15" hidden="false" customHeight="false" outlineLevel="0" collapsed="false">
      <c r="A12" s="12" t="n">
        <v>45505</v>
      </c>
      <c r="B12" s="0" t="n">
        <v>8</v>
      </c>
      <c r="C12" s="2" t="n">
        <v>116498</v>
      </c>
      <c r="D12" s="2" t="n">
        <f aca="false">AVERAGE(C10:C12)</f>
        <v>116706.666666667</v>
      </c>
      <c r="E12" s="8" t="n">
        <f aca="false">MONTH(A12)</f>
        <v>8</v>
      </c>
      <c r="F12" s="2" t="n">
        <f aca="false">INTERCEPT($C$5:$C$34,$B$5:$B$34)+SLOPE($C$5:$C$34,$B$5:$B$34)*B12</f>
        <v>111411.993177605</v>
      </c>
      <c r="G12" s="13" t="n">
        <f aca="false">C12/F12</f>
        <v>1.04565044280545</v>
      </c>
      <c r="H12" s="2" t="n">
        <f aca="false">INTERCEPT($C$5:$C$28,$B$5:$B$28)+SLOPE($C$5:$C$28,$B$5:$B$28)*B12</f>
        <v>111396.183043478</v>
      </c>
      <c r="I12" s="13" t="n">
        <f aca="false">C12/H12</f>
        <v>1.04579884891146</v>
      </c>
      <c r="K12" s="0" t="n">
        <v>8</v>
      </c>
      <c r="L12" s="13" t="n">
        <f aca="false">AVERAGEIFS($G$5:$G$34,$E$5:$E$34,K12)</f>
        <v>1.04032454829732</v>
      </c>
      <c r="M12" s="13" t="n">
        <f aca="false">L12/AVERAGE($L$5:$L$16)</f>
        <v>1.03540969674985</v>
      </c>
      <c r="N12" s="13" t="n">
        <f aca="false">AVERAGEIFS($I$5:$I$34,$E$5:$E$34,K12,$B$5:$B$34,"&lt;="&amp;$B$2)</f>
        <v>1.02987956147039</v>
      </c>
      <c r="O12" s="13" t="n">
        <f aca="false">N12/AVERAGE($N$5:$N$16)</f>
        <v>1.02992831600959</v>
      </c>
    </row>
    <row r="13" customFormat="false" ht="15" hidden="false" customHeight="false" outlineLevel="0" collapsed="false">
      <c r="A13" s="12" t="n">
        <v>45536</v>
      </c>
      <c r="B13" s="0" t="n">
        <v>9</v>
      </c>
      <c r="C13" s="2" t="n">
        <v>111966</v>
      </c>
      <c r="D13" s="2" t="n">
        <f aca="false">AVERAGE(C11:C13)</f>
        <v>115480</v>
      </c>
      <c r="E13" s="8" t="n">
        <f aca="false">MONTH(A13)</f>
        <v>9</v>
      </c>
      <c r="F13" s="2" t="n">
        <f aca="false">INTERCEPT($C$5:$C$34,$B$5:$B$34)+SLOPE($C$5:$C$34,$B$5:$B$34)*B13</f>
        <v>113086.611865035</v>
      </c>
      <c r="G13" s="13" t="n">
        <f aca="false">C13/F13</f>
        <v>0.990090676106093</v>
      </c>
      <c r="H13" s="2" t="n">
        <f aca="false">INTERCEPT($C$5:$C$28,$B$5:$B$28)+SLOPE($C$5:$C$28,$B$5:$B$28)*B13</f>
        <v>113299.503478261</v>
      </c>
      <c r="I13" s="13" t="n">
        <f aca="false">C13/H13</f>
        <v>0.988230279592384</v>
      </c>
      <c r="K13" s="0" t="n">
        <v>9</v>
      </c>
      <c r="L13" s="13" t="n">
        <f aca="false">AVERAGEIFS($G$5:$G$34,$E$5:$E$34,K13)</f>
        <v>0.9817100707083</v>
      </c>
      <c r="M13" s="13" t="n">
        <f aca="false">L13/AVERAGE($L$5:$L$16)</f>
        <v>0.977072134145056</v>
      </c>
      <c r="N13" s="13" t="n">
        <f aca="false">AVERAGEIFS($I$5:$I$34,$E$5:$E$34,K13,$B$5:$B$34,"&lt;="&amp;$B$2)</f>
        <v>0.970208206356235</v>
      </c>
      <c r="O13" s="13" t="n">
        <f aca="false">N13/AVERAGE($N$5:$N$16)</f>
        <v>0.970254136051119</v>
      </c>
    </row>
    <row r="14" customFormat="false" ht="15" hidden="false" customHeight="false" outlineLevel="0" collapsed="false">
      <c r="A14" s="12" t="n">
        <v>45566</v>
      </c>
      <c r="B14" s="0" t="n">
        <v>10</v>
      </c>
      <c r="C14" s="2" t="n">
        <v>109524</v>
      </c>
      <c r="D14" s="2" t="n">
        <f aca="false">AVERAGE(C12:C14)</f>
        <v>112662.666666667</v>
      </c>
      <c r="E14" s="8" t="n">
        <f aca="false">MONTH(A14)</f>
        <v>10</v>
      </c>
      <c r="F14" s="2" t="n">
        <f aca="false">INTERCEPT($C$5:$C$34,$B$5:$B$34)+SLOPE($C$5:$C$34,$B$5:$B$34)*B14</f>
        <v>114761.230552466</v>
      </c>
      <c r="G14" s="13" t="n">
        <f aca="false">C14/F14</f>
        <v>0.954364112973925</v>
      </c>
      <c r="H14" s="2" t="n">
        <f aca="false">INTERCEPT($C$5:$C$28,$B$5:$B$28)+SLOPE($C$5:$C$28,$B$5:$B$28)*B14</f>
        <v>115202.823913043</v>
      </c>
      <c r="I14" s="13" t="n">
        <f aca="false">C14/H14</f>
        <v>0.950705861886425</v>
      </c>
      <c r="K14" s="0" t="n">
        <v>10</v>
      </c>
      <c r="L14" s="13" t="n">
        <f aca="false">AVERAGEIFS($G$5:$G$34,$E$5:$E$34,K14)</f>
        <v>0.949935886053471</v>
      </c>
      <c r="M14" s="13" t="n">
        <f aca="false">L14/AVERAGE($L$5:$L$16)</f>
        <v>0.945448061684423</v>
      </c>
      <c r="N14" s="13" t="n">
        <f aca="false">AVERAGEIFS($I$5:$I$34,$E$5:$E$34,K14,$B$5:$B$34,"&lt;="&amp;$B$2)</f>
        <v>0.937195637996056</v>
      </c>
      <c r="O14" s="13" t="n">
        <f aca="false">N14/AVERAGE($N$5:$N$16)</f>
        <v>0.937240004874648</v>
      </c>
    </row>
    <row r="15" customFormat="false" ht="15" hidden="false" customHeight="false" outlineLevel="0" collapsed="false">
      <c r="A15" s="12" t="n">
        <v>45597</v>
      </c>
      <c r="B15" s="0" t="n">
        <v>11</v>
      </c>
      <c r="C15" s="2" t="n">
        <v>111009</v>
      </c>
      <c r="D15" s="2" t="n">
        <f aca="false">AVERAGE(C13:C15)</f>
        <v>110833</v>
      </c>
      <c r="E15" s="8" t="n">
        <f aca="false">MONTH(A15)</f>
        <v>11</v>
      </c>
      <c r="F15" s="2" t="n">
        <f aca="false">INTERCEPT($C$5:$C$34,$B$5:$B$34)+SLOPE($C$5:$C$34,$B$5:$B$34)*B15</f>
        <v>116435.849239896</v>
      </c>
      <c r="G15" s="13" t="n">
        <f aca="false">C15/F15</f>
        <v>0.953391938347827</v>
      </c>
      <c r="H15" s="2" t="n">
        <f aca="false">INTERCEPT($C$5:$C$28,$B$5:$B$28)+SLOPE($C$5:$C$28,$B$5:$B$28)*B15</f>
        <v>117106.144347826</v>
      </c>
      <c r="I15" s="13" t="n">
        <f aca="false">C15/H15</f>
        <v>0.947934889481832</v>
      </c>
      <c r="K15" s="0" t="n">
        <v>11</v>
      </c>
      <c r="L15" s="13" t="n">
        <f aca="false">AVERAGEIFS($G$5:$G$34,$E$5:$E$34,K15)</f>
        <v>0.94836446207169</v>
      </c>
      <c r="M15" s="13" t="n">
        <f aca="false">L15/AVERAGE($L$5:$L$16)</f>
        <v>0.943884061650872</v>
      </c>
      <c r="N15" s="13" t="n">
        <f aca="false">AVERAGEIFS($I$5:$I$34,$E$5:$E$34,K15,$B$5:$B$34,"&lt;="&amp;$B$2)</f>
        <v>0.934127112053066</v>
      </c>
      <c r="O15" s="13" t="n">
        <f aca="false">N15/AVERAGE($N$5:$N$16)</f>
        <v>0.934171333667518</v>
      </c>
    </row>
    <row r="16" customFormat="false" ht="15" hidden="false" customHeight="false" outlineLevel="0" collapsed="false">
      <c r="A16" s="12" t="n">
        <v>45627</v>
      </c>
      <c r="B16" s="0" t="n">
        <v>12</v>
      </c>
      <c r="C16" s="2" t="n">
        <v>141356</v>
      </c>
      <c r="D16" s="2" t="n">
        <f aca="false">AVERAGE(C14:C16)</f>
        <v>120629.666666667</v>
      </c>
      <c r="E16" s="8" t="n">
        <f aca="false">MONTH(A16)</f>
        <v>12</v>
      </c>
      <c r="F16" s="2" t="n">
        <f aca="false">INTERCEPT($C$5:$C$34,$B$5:$B$34)+SLOPE($C$5:$C$34,$B$5:$B$34)*B16</f>
        <v>118110.467927327</v>
      </c>
      <c r="G16" s="13" t="n">
        <f aca="false">C16/F16</f>
        <v>1.19681178544629</v>
      </c>
      <c r="H16" s="2" t="n">
        <f aca="false">INTERCEPT($C$5:$C$28,$B$5:$B$28)+SLOPE($C$5:$C$28,$B$5:$B$28)*B16</f>
        <v>119009.464782609</v>
      </c>
      <c r="I16" s="13" t="n">
        <f aca="false">C16/H16</f>
        <v>1.1877710756721</v>
      </c>
      <c r="K16" s="0" t="n">
        <v>12</v>
      </c>
      <c r="L16" s="13" t="n">
        <f aca="false">AVERAGEIFS($G$5:$G$34,$E$5:$E$34,K16)</f>
        <v>1.18119942439936</v>
      </c>
      <c r="M16" s="13" t="n">
        <f aca="false">L16/AVERAGE($L$5:$L$16)</f>
        <v>1.17561903140721</v>
      </c>
      <c r="N16" s="13" t="n">
        <f aca="false">AVERAGEIFS($I$5:$I$34,$E$5:$E$34,K16,$B$5:$B$34,"&lt;="&amp;$B$2)</f>
        <v>1.16170994248067</v>
      </c>
      <c r="O16" s="13" t="n">
        <f aca="false">N16/AVERAGE($N$5:$N$16)</f>
        <v>1.16176493787532</v>
      </c>
    </row>
    <row r="17" customFormat="false" ht="15" hidden="false" customHeight="false" outlineLevel="0" collapsed="false">
      <c r="A17" s="12" t="n">
        <v>45658</v>
      </c>
      <c r="B17" s="0" t="n">
        <v>13</v>
      </c>
      <c r="C17" s="2" t="n">
        <v>106332</v>
      </c>
      <c r="D17" s="2" t="n">
        <f aca="false">AVERAGE(C15:C17)</f>
        <v>119565.666666667</v>
      </c>
      <c r="E17" s="8" t="n">
        <f aca="false">MONTH(A17)</f>
        <v>1</v>
      </c>
      <c r="F17" s="2" t="n">
        <f aca="false">INTERCEPT($C$5:$C$34,$B$5:$B$34)+SLOPE($C$5:$C$34,$B$5:$B$34)*B17</f>
        <v>119785.086614757</v>
      </c>
      <c r="G17" s="13" t="n">
        <f aca="false">C17/F17</f>
        <v>0.887689803505975</v>
      </c>
      <c r="H17" s="2" t="n">
        <f aca="false">INTERCEPT($C$5:$C$28,$B$5:$B$28)+SLOPE($C$5:$C$28,$B$5:$B$28)*B17</f>
        <v>120912.785217391</v>
      </c>
      <c r="I17" s="13" t="n">
        <f aca="false">C17/H17</f>
        <v>0.879410724091946</v>
      </c>
      <c r="K17" s="8" t="s">
        <v>178</v>
      </c>
      <c r="M17" s="13" t="n">
        <f aca="false">AVERAGE(M5:M16)</f>
        <v>1</v>
      </c>
      <c r="O17" s="13" t="n">
        <f aca="false">AVERAGE(O5:O16)</f>
        <v>1</v>
      </c>
    </row>
    <row r="18" customFormat="false" ht="15" hidden="false" customHeight="false" outlineLevel="0" collapsed="false">
      <c r="A18" s="12" t="n">
        <v>45689</v>
      </c>
      <c r="B18" s="0" t="n">
        <v>14</v>
      </c>
      <c r="C18" s="2" t="n">
        <v>112194</v>
      </c>
      <c r="D18" s="2" t="n">
        <f aca="false">AVERAGE(C16:C18)</f>
        <v>119960.666666667</v>
      </c>
      <c r="E18" s="8" t="n">
        <f aca="false">MONTH(A18)</f>
        <v>2</v>
      </c>
      <c r="F18" s="2" t="n">
        <f aca="false">INTERCEPT($C$5:$C$34,$B$5:$B$34)+SLOPE($C$5:$C$34,$B$5:$B$34)*B18</f>
        <v>121459.705302188</v>
      </c>
      <c r="G18" s="13" t="n">
        <f aca="false">C18/F18</f>
        <v>0.923713751164348</v>
      </c>
      <c r="H18" s="2" t="n">
        <f aca="false">INTERCEPT($C$5:$C$28,$B$5:$B$28)+SLOPE($C$5:$C$28,$B$5:$B$28)*B18</f>
        <v>122816.105652174</v>
      </c>
      <c r="I18" s="13" t="n">
        <f aca="false">C18/H18</f>
        <v>0.91351211149573</v>
      </c>
    </row>
    <row r="19" customFormat="false" ht="15" hidden="false" customHeight="false" outlineLevel="0" collapsed="false">
      <c r="A19" s="12" t="n">
        <v>45717</v>
      </c>
      <c r="B19" s="0" t="n">
        <v>15</v>
      </c>
      <c r="C19" s="2" t="n">
        <v>121935</v>
      </c>
      <c r="D19" s="2" t="n">
        <f aca="false">AVERAGE(C17:C19)</f>
        <v>113487</v>
      </c>
      <c r="E19" s="8" t="n">
        <f aca="false">MONTH(A19)</f>
        <v>3</v>
      </c>
      <c r="F19" s="2" t="n">
        <f aca="false">INTERCEPT($C$5:$C$34,$B$5:$B$34)+SLOPE($C$5:$C$34,$B$5:$B$34)*B19</f>
        <v>123134.323989618</v>
      </c>
      <c r="G19" s="13" t="n">
        <f aca="false">C19/F19</f>
        <v>0.990260035132696</v>
      </c>
      <c r="H19" s="2" t="n">
        <f aca="false">INTERCEPT($C$5:$C$28,$B$5:$B$28)+SLOPE($C$5:$C$28,$B$5:$B$28)*B19</f>
        <v>124719.426086957</v>
      </c>
      <c r="I19" s="13" t="n">
        <f aca="false">C19/H19</f>
        <v>0.977674479635473</v>
      </c>
      <c r="K19" s="8" t="s">
        <v>179</v>
      </c>
      <c r="L19" s="14" t="n">
        <f aca="false">SLOPE($C$5:$C$34,$B$5:$B$34)</f>
        <v>1674.61868743048</v>
      </c>
    </row>
    <row r="20" customFormat="false" ht="15" hidden="false" customHeight="false" outlineLevel="0" collapsed="false">
      <c r="A20" s="12" t="n">
        <v>45748</v>
      </c>
      <c r="B20" s="0" t="n">
        <v>16</v>
      </c>
      <c r="C20" s="2" t="n">
        <v>123231</v>
      </c>
      <c r="D20" s="2" t="n">
        <f aca="false">AVERAGE(C18:C20)</f>
        <v>119120</v>
      </c>
      <c r="E20" s="8" t="n">
        <f aca="false">MONTH(A20)</f>
        <v>4</v>
      </c>
      <c r="F20" s="2" t="n">
        <f aca="false">INTERCEPT($C$5:$C$34,$B$5:$B$34)+SLOPE($C$5:$C$34,$B$5:$B$34)*B20</f>
        <v>124808.942677049</v>
      </c>
      <c r="G20" s="13" t="n">
        <f aca="false">C20/F20</f>
        <v>0.987357134487297</v>
      </c>
      <c r="H20" s="2" t="n">
        <f aca="false">INTERCEPT($C$5:$C$28,$B$5:$B$28)+SLOPE($C$5:$C$28,$B$5:$B$28)*B20</f>
        <v>126622.746521739</v>
      </c>
      <c r="I20" s="13" t="n">
        <f aca="false">C20/H20</f>
        <v>0.973213765970897</v>
      </c>
      <c r="K20" s="8" t="s">
        <v>180</v>
      </c>
      <c r="L20" s="14" t="n">
        <f aca="false">INTERCEPT($C$5:$C$34,$B$5:$B$34)</f>
        <v>98015.0436781609</v>
      </c>
    </row>
    <row r="21" customFormat="false" ht="15" hidden="false" customHeight="false" outlineLevel="0" collapsed="false">
      <c r="A21" s="12" t="n">
        <v>45778</v>
      </c>
      <c r="B21" s="0" t="n">
        <v>17</v>
      </c>
      <c r="C21" s="2" t="n">
        <v>130938</v>
      </c>
      <c r="D21" s="2" t="n">
        <f aca="false">AVERAGE(C19:C21)</f>
        <v>125368</v>
      </c>
      <c r="E21" s="8" t="n">
        <f aca="false">MONTH(A21)</f>
        <v>5</v>
      </c>
      <c r="F21" s="2" t="n">
        <f aca="false">INTERCEPT($C$5:$C$34,$B$5:$B$34)+SLOPE($C$5:$C$34,$B$5:$B$34)*B21</f>
        <v>126483.561364479</v>
      </c>
      <c r="G21" s="13" t="n">
        <f aca="false">C21/F21</f>
        <v>1.03521753014753</v>
      </c>
      <c r="H21" s="2" t="n">
        <f aca="false">INTERCEPT($C$5:$C$28,$B$5:$B$28)+SLOPE($C$5:$C$28,$B$5:$B$28)*B21</f>
        <v>128526.066956522</v>
      </c>
      <c r="I21" s="13" t="n">
        <f aca="false">C21/H21</f>
        <v>1.01876610014289</v>
      </c>
      <c r="K21" s="8" t="s">
        <v>181</v>
      </c>
      <c r="L21" s="15" t="n">
        <f aca="false">RSQ($C$5:$C$34,$B$5:$B$34)</f>
        <v>0.694323014879803</v>
      </c>
    </row>
    <row r="22" customFormat="false" ht="15" hidden="false" customHeight="false" outlineLevel="0" collapsed="false">
      <c r="A22" s="12" t="n">
        <v>45809</v>
      </c>
      <c r="B22" s="0" t="n">
        <v>18</v>
      </c>
      <c r="C22" s="2" t="n">
        <v>136132</v>
      </c>
      <c r="D22" s="2" t="n">
        <f aca="false">AVERAGE(C20:C22)</f>
        <v>130100.333333333</v>
      </c>
      <c r="E22" s="8" t="n">
        <f aca="false">MONTH(A22)</f>
        <v>6</v>
      </c>
      <c r="F22" s="2" t="n">
        <f aca="false">INTERCEPT($C$5:$C$34,$B$5:$B$34)+SLOPE($C$5:$C$34,$B$5:$B$34)*B22</f>
        <v>128158.18005191</v>
      </c>
      <c r="G22" s="13" t="n">
        <f aca="false">C22/F22</f>
        <v>1.06221857976495</v>
      </c>
      <c r="H22" s="2" t="n">
        <f aca="false">INTERCEPT($C$5:$C$28,$B$5:$B$28)+SLOPE($C$5:$C$28,$B$5:$B$28)*B22</f>
        <v>130429.387391304</v>
      </c>
      <c r="I22" s="13" t="n">
        <f aca="false">C22/H22</f>
        <v>1.04372183848098</v>
      </c>
    </row>
    <row r="23" customFormat="false" ht="15" hidden="false" customHeight="false" outlineLevel="0" collapsed="false">
      <c r="A23" s="12" t="n">
        <v>45839</v>
      </c>
      <c r="B23" s="0" t="n">
        <v>19</v>
      </c>
      <c r="C23" s="2" t="n">
        <v>138917</v>
      </c>
      <c r="D23" s="2" t="n">
        <f aca="false">AVERAGE(C21:C23)</f>
        <v>135329</v>
      </c>
      <c r="E23" s="8" t="n">
        <f aca="false">MONTH(A23)</f>
        <v>7</v>
      </c>
      <c r="F23" s="2" t="n">
        <f aca="false">INTERCEPT($C$5:$C$34,$B$5:$B$34)+SLOPE($C$5:$C$34,$B$5:$B$34)*B23</f>
        <v>129832.79873934</v>
      </c>
      <c r="G23" s="13" t="n">
        <f aca="false">C23/F23</f>
        <v>1.06996846212102</v>
      </c>
      <c r="H23" s="2" t="n">
        <f aca="false">INTERCEPT($C$5:$C$28,$B$5:$B$28)+SLOPE($C$5:$C$28,$B$5:$B$28)*B23</f>
        <v>132332.707826087</v>
      </c>
      <c r="I23" s="13" t="n">
        <f aca="false">C23/H23</f>
        <v>1.04975559166042</v>
      </c>
    </row>
    <row r="24" customFormat="false" ht="15" hidden="false" customHeight="false" outlineLevel="0" collapsed="false">
      <c r="A24" s="12" t="n">
        <v>45870</v>
      </c>
      <c r="B24" s="0" t="n">
        <v>20</v>
      </c>
      <c r="C24" s="2" t="n">
        <v>136110</v>
      </c>
      <c r="D24" s="2" t="n">
        <f aca="false">AVERAGE(C22:C24)</f>
        <v>137053</v>
      </c>
      <c r="E24" s="8" t="n">
        <f aca="false">MONTH(A24)</f>
        <v>8</v>
      </c>
      <c r="F24" s="2" t="n">
        <f aca="false">INTERCEPT($C$5:$C$34,$B$5:$B$34)+SLOPE($C$5:$C$34,$B$5:$B$34)*B24</f>
        <v>131507.417426771</v>
      </c>
      <c r="G24" s="13" t="n">
        <f aca="false">C24/F24</f>
        <v>1.03499865378919</v>
      </c>
      <c r="H24" s="2" t="n">
        <f aca="false">INTERCEPT($C$5:$C$28,$B$5:$B$28)+SLOPE($C$5:$C$28,$B$5:$B$28)*B24</f>
        <v>134236.02826087</v>
      </c>
      <c r="I24" s="13" t="n">
        <f aca="false">C24/H24</f>
        <v>1.01396027402933</v>
      </c>
    </row>
    <row r="25" customFormat="false" ht="15" hidden="false" customHeight="false" outlineLevel="0" collapsed="false">
      <c r="A25" s="12" t="n">
        <v>45901</v>
      </c>
      <c r="B25" s="0" t="n">
        <v>21</v>
      </c>
      <c r="C25" s="2" t="n">
        <v>129630</v>
      </c>
      <c r="D25" s="2" t="n">
        <f aca="false">AVERAGE(C23:C25)</f>
        <v>134885.666666667</v>
      </c>
      <c r="E25" s="8" t="n">
        <f aca="false">MONTH(A25)</f>
        <v>9</v>
      </c>
      <c r="F25" s="2" t="n">
        <f aca="false">INTERCEPT($C$5:$C$34,$B$5:$B$34)+SLOPE($C$5:$C$34,$B$5:$B$34)*B25</f>
        <v>133182.036114201</v>
      </c>
      <c r="G25" s="13" t="n">
        <f aca="false">C25/F25</f>
        <v>0.973329465310508</v>
      </c>
      <c r="H25" s="2" t="n">
        <f aca="false">INTERCEPT($C$5:$C$28,$B$5:$B$28)+SLOPE($C$5:$C$28,$B$5:$B$28)*B25</f>
        <v>136139.348695652</v>
      </c>
      <c r="I25" s="13" t="n">
        <f aca="false">C25/H25</f>
        <v>0.952186133120086</v>
      </c>
    </row>
    <row r="26" customFormat="false" ht="15" hidden="false" customHeight="false" outlineLevel="0" collapsed="false">
      <c r="A26" s="12" t="n">
        <v>45931</v>
      </c>
      <c r="B26" s="0" t="n">
        <v>22</v>
      </c>
      <c r="C26" s="2" t="n">
        <v>127508</v>
      </c>
      <c r="D26" s="2" t="n">
        <f aca="false">AVERAGE(C24:C26)</f>
        <v>131082.666666667</v>
      </c>
      <c r="E26" s="8" t="n">
        <f aca="false">MONTH(A26)</f>
        <v>10</v>
      </c>
      <c r="F26" s="2" t="n">
        <f aca="false">INTERCEPT($C$5:$C$34,$B$5:$B$34)+SLOPE($C$5:$C$34,$B$5:$B$34)*B26</f>
        <v>134856.654801631</v>
      </c>
      <c r="G26" s="13" t="n">
        <f aca="false">C26/F26</f>
        <v>0.945507659133018</v>
      </c>
      <c r="H26" s="2" t="n">
        <f aca="false">INTERCEPT($C$5:$C$28,$B$5:$B$28)+SLOPE($C$5:$C$28,$B$5:$B$28)*B26</f>
        <v>138042.669130435</v>
      </c>
      <c r="I26" s="13" t="n">
        <f aca="false">C26/H26</f>
        <v>0.923685414105687</v>
      </c>
    </row>
    <row r="27" customFormat="false" ht="15" hidden="false" customHeight="false" outlineLevel="0" collapsed="false">
      <c r="A27" s="12" t="n">
        <v>45962</v>
      </c>
      <c r="B27" s="0" t="n">
        <v>23</v>
      </c>
      <c r="C27" s="2" t="n">
        <v>128795</v>
      </c>
      <c r="D27" s="2" t="n">
        <f aca="false">AVERAGE(C25:C27)</f>
        <v>128644.333333333</v>
      </c>
      <c r="E27" s="8" t="n">
        <f aca="false">MONTH(A27)</f>
        <v>11</v>
      </c>
      <c r="F27" s="2" t="n">
        <f aca="false">INTERCEPT($C$5:$C$34,$B$5:$B$34)+SLOPE($C$5:$C$34,$B$5:$B$34)*B27</f>
        <v>136531.273489062</v>
      </c>
      <c r="G27" s="13" t="n">
        <f aca="false">C27/F27</f>
        <v>0.943336985795553</v>
      </c>
      <c r="H27" s="2" t="n">
        <f aca="false">INTERCEPT($C$5:$C$28,$B$5:$B$28)+SLOPE($C$5:$C$28,$B$5:$B$28)*B27</f>
        <v>139945.989565217</v>
      </c>
      <c r="I27" s="13" t="n">
        <f aca="false">C27/H27</f>
        <v>0.920319334624299</v>
      </c>
    </row>
    <row r="28" customFormat="false" ht="15" hidden="false" customHeight="false" outlineLevel="0" collapsed="false">
      <c r="A28" s="12" t="n">
        <v>45992</v>
      </c>
      <c r="B28" s="0" t="n">
        <v>24</v>
      </c>
      <c r="C28" s="2" t="n">
        <v>161091</v>
      </c>
      <c r="D28" s="2" t="n">
        <f aca="false">AVERAGE(C26:C28)</f>
        <v>139131.333333333</v>
      </c>
      <c r="E28" s="8" t="n">
        <f aca="false">MONTH(A28)</f>
        <v>12</v>
      </c>
      <c r="F28" s="2" t="n">
        <f aca="false">INTERCEPT($C$5:$C$34,$B$5:$B$34)+SLOPE($C$5:$C$34,$B$5:$B$34)*B28</f>
        <v>138205.892176492</v>
      </c>
      <c r="G28" s="13" t="n">
        <f aca="false">C28/F28</f>
        <v>1.16558706335243</v>
      </c>
      <c r="H28" s="2" t="n">
        <f aca="false">INTERCEPT($C$5:$C$28,$B$5:$B$28)+SLOPE($C$5:$C$28,$B$5:$B$28)*B28</f>
        <v>141849.31</v>
      </c>
      <c r="I28" s="13" t="n">
        <f aca="false">C28/H28</f>
        <v>1.13564880928924</v>
      </c>
    </row>
    <row r="29" customFormat="false" ht="15" hidden="false" customHeight="false" outlineLevel="0" collapsed="false">
      <c r="A29" s="12" t="n">
        <v>46023</v>
      </c>
      <c r="B29" s="0" t="n">
        <v>25</v>
      </c>
      <c r="C29" s="2" t="n">
        <v>121543</v>
      </c>
      <c r="D29" s="2" t="n">
        <f aca="false">AVERAGE(C27:C29)</f>
        <v>137143</v>
      </c>
      <c r="E29" s="8" t="n">
        <f aca="false">MONTH(A29)</f>
        <v>1</v>
      </c>
      <c r="F29" s="2" t="n">
        <f aca="false">INTERCEPT($C$5:$C$34,$B$5:$B$34)+SLOPE($C$5:$C$34,$B$5:$B$34)*B29</f>
        <v>139880.510863923</v>
      </c>
      <c r="G29" s="13" t="n">
        <f aca="false">C29/F29</f>
        <v>0.868905891530795</v>
      </c>
      <c r="H29" s="2" t="n">
        <f aca="false">INTERCEPT($C$5:$C$28,$B$5:$B$28)+SLOPE($C$5:$C$28,$B$5:$B$28)*B29</f>
        <v>143752.630434783</v>
      </c>
      <c r="I29" s="13" t="n">
        <f aca="false">C29/H29</f>
        <v>0.845501050188722</v>
      </c>
    </row>
    <row r="30" customFormat="false" ht="15" hidden="false" customHeight="false" outlineLevel="0" collapsed="false">
      <c r="A30" s="12" t="n">
        <v>46054</v>
      </c>
      <c r="B30" s="0" t="n">
        <v>26</v>
      </c>
      <c r="C30" s="2" t="n">
        <v>125796</v>
      </c>
      <c r="D30" s="2" t="n">
        <f aca="false">AVERAGE(C28:C30)</f>
        <v>136143.333333333</v>
      </c>
      <c r="E30" s="8" t="n">
        <f aca="false">MONTH(A30)</f>
        <v>2</v>
      </c>
      <c r="F30" s="2" t="n">
        <f aca="false">INTERCEPT($C$5:$C$34,$B$5:$B$34)+SLOPE($C$5:$C$34,$B$5:$B$34)*B30</f>
        <v>141555.129551353</v>
      </c>
      <c r="G30" s="13" t="n">
        <f aca="false">C30/F30</f>
        <v>0.888671434222832</v>
      </c>
      <c r="H30" s="2" t="n">
        <f aca="false">INTERCEPT($C$5:$C$28,$B$5:$B$28)+SLOPE($C$5:$C$28,$B$5:$B$28)*B30</f>
        <v>145655.950869565</v>
      </c>
      <c r="I30" s="13" t="n">
        <f aca="false">C30/H30</f>
        <v>0.863651634203742</v>
      </c>
    </row>
    <row r="31" customFormat="false" ht="15" hidden="false" customHeight="false" outlineLevel="0" collapsed="false">
      <c r="A31" s="12" t="n">
        <v>46082</v>
      </c>
      <c r="B31" s="0" t="n">
        <v>27</v>
      </c>
      <c r="C31" s="2" t="n">
        <v>140065</v>
      </c>
      <c r="D31" s="2" t="n">
        <f aca="false">AVERAGE(C29:C31)</f>
        <v>129134.666666667</v>
      </c>
      <c r="E31" s="8" t="n">
        <f aca="false">MONTH(A31)</f>
        <v>3</v>
      </c>
      <c r="F31" s="2" t="n">
        <f aca="false">INTERCEPT($C$5:$C$34,$B$5:$B$34)+SLOPE($C$5:$C$34,$B$5:$B$34)*B31</f>
        <v>143229.748238784</v>
      </c>
      <c r="G31" s="13" t="n">
        <f aca="false">C31/F31</f>
        <v>0.977904392923265</v>
      </c>
      <c r="H31" s="2" t="n">
        <f aca="false">INTERCEPT($C$5:$C$28,$B$5:$B$28)+SLOPE($C$5:$C$28,$B$5:$B$28)*B31</f>
        <v>147559.271304348</v>
      </c>
      <c r="I31" s="13" t="n">
        <f aca="false">C31/H31</f>
        <v>0.949211789688968</v>
      </c>
    </row>
    <row r="32" customFormat="false" ht="15" hidden="false" customHeight="false" outlineLevel="0" collapsed="false">
      <c r="A32" s="12" t="n">
        <v>46113</v>
      </c>
      <c r="B32" s="0" t="n">
        <v>28</v>
      </c>
      <c r="C32" s="2" t="n">
        <v>144041</v>
      </c>
      <c r="D32" s="2" t="n">
        <f aca="false">AVERAGE(C30:C32)</f>
        <v>136634</v>
      </c>
      <c r="E32" s="8" t="n">
        <f aca="false">MONTH(A32)</f>
        <v>4</v>
      </c>
      <c r="F32" s="2" t="n">
        <f aca="false">INTERCEPT($C$5:$C$34,$B$5:$B$34)+SLOPE($C$5:$C$34,$B$5:$B$34)*B32</f>
        <v>144904.366926214</v>
      </c>
      <c r="G32" s="13" t="n">
        <f aca="false">C32/F32</f>
        <v>0.994041815684865</v>
      </c>
      <c r="H32" s="2" t="n">
        <f aca="false">INTERCEPT($C$5:$C$28,$B$5:$B$28)+SLOPE($C$5:$C$28,$B$5:$B$28)*B32</f>
        <v>149462.59173913</v>
      </c>
      <c r="I32" s="13" t="n">
        <f aca="false">C32/H32</f>
        <v>0.963726095767206</v>
      </c>
    </row>
    <row r="33" customFormat="false" ht="15" hidden="false" customHeight="false" outlineLevel="0" collapsed="false">
      <c r="A33" s="12" t="n">
        <v>46143</v>
      </c>
      <c r="B33" s="0" t="n">
        <v>29</v>
      </c>
      <c r="C33" s="2" t="n">
        <v>149925</v>
      </c>
      <c r="D33" s="2" t="n">
        <f aca="false">AVERAGE(C31:C33)</f>
        <v>144677</v>
      </c>
      <c r="E33" s="8" t="n">
        <f aca="false">MONTH(A33)</f>
        <v>5</v>
      </c>
      <c r="F33" s="2" t="n">
        <f aca="false">INTERCEPT($C$5:$C$34,$B$5:$B$34)+SLOPE($C$5:$C$34,$B$5:$B$34)*B33</f>
        <v>146578.985613645</v>
      </c>
      <c r="G33" s="13" t="n">
        <f aca="false">C33/F33</f>
        <v>1.02282738123986</v>
      </c>
      <c r="H33" s="2" t="n">
        <f aca="false">INTERCEPT($C$5:$C$28,$B$5:$B$28)+SLOPE($C$5:$C$28,$B$5:$B$28)*B33</f>
        <v>151365.912173913</v>
      </c>
      <c r="I33" s="13" t="n">
        <f aca="false">C33/H33</f>
        <v>0.990480603240065</v>
      </c>
    </row>
    <row r="34" customFormat="false" ht="15" hidden="false" customHeight="false" outlineLevel="0" collapsed="false">
      <c r="A34" s="12" t="n">
        <v>46174</v>
      </c>
      <c r="B34" s="0" t="n">
        <v>30</v>
      </c>
      <c r="C34" s="2" t="n">
        <v>158712</v>
      </c>
      <c r="D34" s="2" t="n">
        <f aca="false">AVERAGE(C32:C34)</f>
        <v>150892.666666667</v>
      </c>
      <c r="E34" s="8" t="n">
        <f aca="false">MONTH(A34)</f>
        <v>6</v>
      </c>
      <c r="F34" s="2" t="n">
        <f aca="false">INTERCEPT($C$5:$C$34,$B$5:$B$34)+SLOPE($C$5:$C$34,$B$5:$B$34)*B34</f>
        <v>148253.604301075</v>
      </c>
      <c r="G34" s="13" t="n">
        <f aca="false">C34/F34</f>
        <v>1.070543955732</v>
      </c>
      <c r="H34" s="2" t="n">
        <f aca="false">INTERCEPT($C$5:$C$28,$B$5:$B$28)+SLOPE($C$5:$C$28,$B$5:$B$28)*B34</f>
        <v>153269.232608696</v>
      </c>
      <c r="I34" s="13" t="n">
        <f aca="false">C34/H34</f>
        <v>1.03551115444807</v>
      </c>
    </row>
    <row r="37" customFormat="false" ht="15" hidden="false" customHeight="false" outlineLevel="0" collapsed="false">
      <c r="A37" s="0" t="s">
        <v>166</v>
      </c>
      <c r="B37" s="0" t="s">
        <v>167</v>
      </c>
      <c r="C37" s="0" t="s">
        <v>182</v>
      </c>
      <c r="D37" s="0" t="s">
        <v>183</v>
      </c>
      <c r="E37" s="0" t="s">
        <v>184</v>
      </c>
    </row>
    <row r="38" customFormat="false" ht="15" hidden="false" customHeight="false" outlineLevel="0" collapsed="false">
      <c r="A38" s="12" t="n">
        <f aca="false">EDATE($A$34,1)</f>
        <v>46204</v>
      </c>
      <c r="B38" s="8" t="n">
        <f aca="false">$B$34+1</f>
        <v>31</v>
      </c>
      <c r="C38" s="2" t="n">
        <f aca="false">_xlfn.FORECAST.LINEAR(B38,$C$5:$C$34,$B$5:$B$34)</f>
        <v>149928.222988506</v>
      </c>
      <c r="D38" s="2" t="n">
        <f aca="false">TREND($C$5:$C$34,$B$5:$B$34,B38)</f>
        <v>149928.222988506</v>
      </c>
      <c r="E38" s="2" t="n">
        <f aca="false">C38*INDEX($M$5:$M$16,MONTH(A38))</f>
        <v>160041.659258254</v>
      </c>
    </row>
    <row r="39" customFormat="false" ht="15" hidden="false" customHeight="false" outlineLevel="0" collapsed="false">
      <c r="A39" s="12" t="n">
        <f aca="false">EDATE(A38,1)</f>
        <v>46235</v>
      </c>
      <c r="B39" s="8" t="n">
        <f aca="false">B38+1</f>
        <v>32</v>
      </c>
      <c r="C39" s="2" t="n">
        <f aca="false">_xlfn.FORECAST.LINEAR(B39,$C$5:$C$34,$B$5:$B$34)</f>
        <v>151602.841675936</v>
      </c>
      <c r="D39" s="2" t="n">
        <f aca="false">TREND($C$5:$C$34,$B$5:$B$34,B39)</f>
        <v>151602.841675936</v>
      </c>
      <c r="E39" s="2" t="n">
        <f aca="false">C39*INDEX($M$5:$M$16,MONTH(A39))</f>
        <v>156971.052326096</v>
      </c>
    </row>
    <row r="40" customFormat="false" ht="15" hidden="false" customHeight="false" outlineLevel="0" collapsed="false">
      <c r="A40" s="12" t="n">
        <f aca="false">EDATE(A39,1)</f>
        <v>46266</v>
      </c>
      <c r="B40" s="8" t="n">
        <f aca="false">B39+1</f>
        <v>33</v>
      </c>
      <c r="C40" s="2" t="n">
        <f aca="false">_xlfn.FORECAST.LINEAR(B40,$C$5:$C$34,$B$5:$B$34)</f>
        <v>153277.460363367</v>
      </c>
      <c r="D40" s="2" t="n">
        <f aca="false">TREND($C$5:$C$34,$B$5:$B$34,B40)</f>
        <v>153277.460363367</v>
      </c>
      <c r="E40" s="2" t="n">
        <f aca="false">C40*INDEX($M$5:$M$16,MONTH(A40))</f>
        <v>149763.135313569</v>
      </c>
    </row>
    <row r="41" customFormat="false" ht="15" hidden="false" customHeight="false" outlineLevel="0" collapsed="false">
      <c r="A41" s="12" t="n">
        <f aca="false">EDATE(A40,1)</f>
        <v>46296</v>
      </c>
      <c r="B41" s="8" t="n">
        <f aca="false">B40+1</f>
        <v>34</v>
      </c>
      <c r="C41" s="2" t="n">
        <f aca="false">_xlfn.FORECAST.LINEAR(B41,$C$5:$C$34,$B$5:$B$34)</f>
        <v>154952.079050797</v>
      </c>
      <c r="D41" s="2" t="n">
        <f aca="false">TREND($C$5:$C$34,$B$5:$B$34,B41)</f>
        <v>154952.079050797</v>
      </c>
      <c r="E41" s="2" t="n">
        <f aca="false">C41*INDEX($M$5:$M$16,MONTH(A41))</f>
        <v>146499.142792548</v>
      </c>
    </row>
    <row r="42" customFormat="false" ht="15" hidden="false" customHeight="false" outlineLevel="0" collapsed="false">
      <c r="A42" s="12" t="n">
        <f aca="false">EDATE(A41,1)</f>
        <v>46327</v>
      </c>
      <c r="B42" s="8" t="n">
        <f aca="false">B41+1</f>
        <v>35</v>
      </c>
      <c r="C42" s="2" t="n">
        <f aca="false">_xlfn.FORECAST.LINEAR(B42,$C$5:$C$34,$B$5:$B$34)</f>
        <v>156626.697738228</v>
      </c>
      <c r="D42" s="2" t="n">
        <f aca="false">TREND($C$5:$C$34,$B$5:$B$34,B42)</f>
        <v>156626.697738228</v>
      </c>
      <c r="E42" s="2" t="n">
        <f aca="false">C42*INDEX($M$5:$M$16,MONTH(A42))</f>
        <v>147837.443624122</v>
      </c>
    </row>
    <row r="43" customFormat="false" ht="15" hidden="false" customHeight="false" outlineLevel="0" collapsed="false">
      <c r="A43" s="12" t="n">
        <f aca="false">EDATE(A42,1)</f>
        <v>46357</v>
      </c>
      <c r="B43" s="8" t="n">
        <f aca="false">B42+1</f>
        <v>36</v>
      </c>
      <c r="C43" s="2" t="n">
        <f aca="false">_xlfn.FORECAST.LINEAR(B43,$C$5:$C$34,$B$5:$B$34)</f>
        <v>158301.316425658</v>
      </c>
      <c r="D43" s="2" t="n">
        <f aca="false">TREND($C$5:$C$34,$B$5:$B$34,B43)</f>
        <v>158301.316425658</v>
      </c>
      <c r="E43" s="2" t="n">
        <f aca="false">C43*INDEX($M$5:$M$16,MONTH(A43))</f>
        <v>186102.040286818</v>
      </c>
    </row>
    <row r="46" customFormat="false" ht="15" hidden="false" customHeight="false" outlineLevel="0" collapsed="false">
      <c r="A46" s="0" t="s">
        <v>185</v>
      </c>
      <c r="B46" s="0" t="s">
        <v>29</v>
      </c>
      <c r="C46" s="0" t="s">
        <v>186</v>
      </c>
      <c r="D46" s="0" t="s">
        <v>187</v>
      </c>
      <c r="E46" s="0" t="s">
        <v>188</v>
      </c>
      <c r="F46" s="0" t="s">
        <v>189</v>
      </c>
    </row>
    <row r="47" customFormat="false" ht="15" hidden="false" customHeight="false" outlineLevel="0" collapsed="false">
      <c r="A47" s="12" t="n">
        <f aca="false">A29</f>
        <v>46023</v>
      </c>
      <c r="B47" s="2" t="n">
        <f aca="false">C29</f>
        <v>121543</v>
      </c>
      <c r="C47" s="2" t="n">
        <f aca="false">H29*INDEX($O$5:$O$16,E29)</f>
        <v>129621.034149159</v>
      </c>
      <c r="D47" s="2" t="n">
        <f aca="false">C17</f>
        <v>106332</v>
      </c>
      <c r="E47" s="5" t="n">
        <f aca="false">ABS(B47-C47)/ABS(B47)</f>
        <v>0.066462356113959</v>
      </c>
      <c r="F47" s="5" t="n">
        <f aca="false">ABS(B47-D47)/ABS(B47)</f>
        <v>0.125149124178274</v>
      </c>
    </row>
    <row r="48" customFormat="false" ht="15" hidden="false" customHeight="false" outlineLevel="0" collapsed="false">
      <c r="A48" s="12" t="n">
        <f aca="false">A30</f>
        <v>46054</v>
      </c>
      <c r="B48" s="2" t="n">
        <f aca="false">C30</f>
        <v>125796</v>
      </c>
      <c r="C48" s="2" t="n">
        <f aca="false">H30*INDEX($O$5:$O$16,E30)</f>
        <v>133043.265808656</v>
      </c>
      <c r="D48" s="2" t="n">
        <f aca="false">C18</f>
        <v>112194</v>
      </c>
      <c r="E48" s="5" t="n">
        <f aca="false">ABS(B48-C48)/ABS(B48)</f>
        <v>0.0576112579784392</v>
      </c>
      <c r="F48" s="5" t="n">
        <f aca="false">ABS(B48-D48)/ABS(B48)</f>
        <v>0.108127444433845</v>
      </c>
    </row>
    <row r="49" customFormat="false" ht="15" hidden="false" customHeight="false" outlineLevel="0" collapsed="false">
      <c r="A49" s="12" t="n">
        <f aca="false">A31</f>
        <v>46082</v>
      </c>
      <c r="B49" s="2" t="n">
        <f aca="false">C31</f>
        <v>140065</v>
      </c>
      <c r="C49" s="2" t="n">
        <f aca="false">H31*INDEX($O$5:$O$16,E31)</f>
        <v>147817.491577323</v>
      </c>
      <c r="D49" s="2" t="n">
        <f aca="false">C19</f>
        <v>121935</v>
      </c>
      <c r="E49" s="5" t="n">
        <f aca="false">ABS(B49-C49)/ABS(B49)</f>
        <v>0.0553492419756741</v>
      </c>
      <c r="F49" s="5" t="n">
        <f aca="false">ABS(B49-D49)/ABS(B49)</f>
        <v>0.129439902902224</v>
      </c>
    </row>
    <row r="50" customFormat="false" ht="15" hidden="false" customHeight="false" outlineLevel="0" collapsed="false">
      <c r="A50" s="12" t="n">
        <f aca="false">A32</f>
        <v>46113</v>
      </c>
      <c r="B50" s="2" t="n">
        <f aca="false">C32</f>
        <v>144041</v>
      </c>
      <c r="C50" s="2" t="n">
        <f aca="false">H32*INDEX($O$5:$O$16,E32)</f>
        <v>150843.737051527</v>
      </c>
      <c r="D50" s="2" t="n">
        <f aca="false">C20</f>
        <v>123231</v>
      </c>
      <c r="E50" s="5" t="n">
        <f aca="false">ABS(B50-C50)/ABS(B50)</f>
        <v>0.047227782725246</v>
      </c>
      <c r="F50" s="5" t="n">
        <f aca="false">ABS(B50-D50)/ABS(B50)</f>
        <v>0.144472754285238</v>
      </c>
    </row>
    <row r="51" customFormat="false" ht="15" hidden="false" customHeight="false" outlineLevel="0" collapsed="false">
      <c r="A51" s="12" t="n">
        <f aca="false">A33</f>
        <v>46143</v>
      </c>
      <c r="B51" s="2" t="n">
        <f aca="false">C33</f>
        <v>149925</v>
      </c>
      <c r="C51" s="2" t="n">
        <f aca="false">H33*INDEX($O$5:$O$16,E33)</f>
        <v>154019.298504454</v>
      </c>
      <c r="D51" s="2" t="n">
        <f aca="false">C21</f>
        <v>130938</v>
      </c>
      <c r="E51" s="5" t="n">
        <f aca="false">ABS(B51-C51)/ABS(B51)</f>
        <v>0.0273089778519528</v>
      </c>
      <c r="F51" s="5" t="n">
        <f aca="false">ABS(B51-D51)/ABS(B51)</f>
        <v>0.12664332166083</v>
      </c>
    </row>
    <row r="52" customFormat="false" ht="15" hidden="false" customHeight="false" outlineLevel="0" collapsed="false">
      <c r="A52" s="12" t="n">
        <f aca="false">A34</f>
        <v>46174</v>
      </c>
      <c r="B52" s="2" t="n">
        <f aca="false">C34</f>
        <v>158712</v>
      </c>
      <c r="C52" s="2" t="n">
        <f aca="false">H34*INDEX($O$5:$O$16,E34)</f>
        <v>162366.033958723</v>
      </c>
      <c r="D52" s="2" t="n">
        <f aca="false">C22</f>
        <v>136132</v>
      </c>
      <c r="E52" s="5" t="n">
        <f aca="false">ABS(B52-C52)/ABS(B52)</f>
        <v>0.0230230477766221</v>
      </c>
      <c r="F52" s="5" t="n">
        <f aca="false">ABS(B52-D52)/ABS(B52)</f>
        <v>0.142270275719542</v>
      </c>
    </row>
    <row r="54" customFormat="false" ht="15" hidden="false" customHeight="false" outlineLevel="0" collapsed="false">
      <c r="A54" s="0" t="s">
        <v>190</v>
      </c>
      <c r="B54" s="5" t="n">
        <f aca="false">AVERAGE(E47:E52)</f>
        <v>0.0461637774036489</v>
      </c>
    </row>
    <row r="55" customFormat="false" ht="15" hidden="false" customHeight="false" outlineLevel="0" collapsed="false">
      <c r="A55" s="0" t="s">
        <v>191</v>
      </c>
      <c r="B55" s="16" t="n">
        <f aca="false">(SUM(C47:C52)-SUM(B47:B52))/SUM(B47:B52)</f>
        <v>0.044791890612871</v>
      </c>
    </row>
    <row r="56" customFormat="false" ht="15" hidden="false" customHeight="false" outlineLevel="0" collapsed="false">
      <c r="A56" s="0" t="s">
        <v>192</v>
      </c>
      <c r="B56" s="5" t="n">
        <f aca="false">AVERAGE(F47:F52)</f>
        <v>0.129350470529992</v>
      </c>
    </row>
    <row r="57" customFormat="false" ht="15" hidden="false" customHeight="false" outlineLevel="0" collapsed="false">
      <c r="A57" s="0" t="s">
        <v>193</v>
      </c>
      <c r="B57" s="4" t="b">
        <f aca="false">B54&lt;B56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194</v>
      </c>
    </row>
    <row r="3" customFormat="false" ht="15" hidden="false" customHeight="false" outlineLevel="0" collapsed="false">
      <c r="A3" s="0" t="s">
        <v>195</v>
      </c>
      <c r="B3" s="0" t="s">
        <v>196</v>
      </c>
      <c r="C3" s="0" t="s">
        <v>197</v>
      </c>
      <c r="D3" s="0" t="s">
        <v>198</v>
      </c>
      <c r="E3" s="0" t="s">
        <v>199</v>
      </c>
    </row>
    <row r="4" customFormat="false" ht="15" hidden="false" customHeight="false" outlineLevel="0" collapsed="false">
      <c r="A4" s="0" t="s">
        <v>200</v>
      </c>
      <c r="B4" s="2" t="n">
        <v>60</v>
      </c>
      <c r="C4" s="2" t="n">
        <v>80</v>
      </c>
      <c r="D4" s="2" t="n">
        <v>100</v>
      </c>
      <c r="E4" s="2" t="n">
        <f aca="false">INDEX(B4:D4,$C$8)</f>
        <v>80</v>
      </c>
    </row>
    <row r="5" customFormat="false" ht="15" hidden="false" customHeight="false" outlineLevel="0" collapsed="false">
      <c r="A5" s="0" t="s">
        <v>201</v>
      </c>
      <c r="B5" s="1" t="n">
        <v>0.03</v>
      </c>
      <c r="C5" s="1" t="n">
        <v>0.02</v>
      </c>
      <c r="D5" s="1" t="n">
        <v>0.015</v>
      </c>
      <c r="E5" s="1" t="n">
        <f aca="false">INDEX(B5:D5,$C$8)</f>
        <v>0.02</v>
      </c>
    </row>
    <row r="6" customFormat="false" ht="15" hidden="false" customHeight="false" outlineLevel="0" collapsed="false">
      <c r="A6" s="0" t="s">
        <v>202</v>
      </c>
      <c r="B6" s="6" t="n">
        <v>90</v>
      </c>
      <c r="C6" s="6" t="n">
        <v>95</v>
      </c>
      <c r="D6" s="6" t="n">
        <v>98</v>
      </c>
      <c r="E6" s="6" t="n">
        <f aca="false">INDEX(B6:D6,$C$8)</f>
        <v>95</v>
      </c>
    </row>
    <row r="8" customFormat="false" ht="15" hidden="false" customHeight="false" outlineLevel="0" collapsed="false">
      <c r="A8" s="0" t="s">
        <v>203</v>
      </c>
      <c r="C8" s="0" t="n">
        <v>2</v>
      </c>
    </row>
    <row r="9" customFormat="false" ht="15" hidden="false" customHeight="false" outlineLevel="0" collapsed="false">
      <c r="A9" s="0" t="s">
        <v>204</v>
      </c>
      <c r="C9" s="0" t="str">
        <f aca="false">INDEX($B$3:$D$3,$C$8)</f>
        <v>Base</v>
      </c>
    </row>
    <row r="10" customFormat="false" ht="15" hidden="false" customHeight="false" outlineLevel="0" collapsed="false">
      <c r="A10" s="0" t="s">
        <v>205</v>
      </c>
      <c r="B10" s="2" t="n">
        <v>1200</v>
      </c>
    </row>
    <row r="13" customFormat="false" ht="15" hidden="false" customHeight="false" outlineLevel="0" collapsed="false">
      <c r="A13" s="0" t="s">
        <v>166</v>
      </c>
      <c r="B13" s="12" t="n">
        <v>46296</v>
      </c>
      <c r="C13" s="12" t="n">
        <f aca="false">EDATE(B13,1)</f>
        <v>46327</v>
      </c>
      <c r="D13" s="12" t="n">
        <f aca="false">EDATE(C13,1)</f>
        <v>46357</v>
      </c>
      <c r="E13" s="12" t="n">
        <f aca="false">EDATE(D13,1)</f>
        <v>46388</v>
      </c>
      <c r="F13" s="12" t="n">
        <f aca="false">EDATE(E13,1)</f>
        <v>46419</v>
      </c>
      <c r="G13" s="12" t="n">
        <f aca="false">EDATE(F13,1)</f>
        <v>46447</v>
      </c>
      <c r="H13" s="8" t="s">
        <v>206</v>
      </c>
    </row>
    <row r="14" customFormat="false" ht="15" hidden="false" customHeight="false" outlineLevel="0" collapsed="false">
      <c r="A14" s="0" t="s">
        <v>207</v>
      </c>
      <c r="B14" s="2" t="n">
        <f aca="false">$B$10</f>
        <v>1200</v>
      </c>
      <c r="C14" s="2" t="n">
        <f aca="false">B17</f>
        <v>1256</v>
      </c>
      <c r="D14" s="2" t="n">
        <f aca="false">C17</f>
        <v>1310.88</v>
      </c>
      <c r="E14" s="2" t="n">
        <f aca="false">D17</f>
        <v>1364.6624</v>
      </c>
      <c r="F14" s="2" t="n">
        <f aca="false">E17</f>
        <v>1417.369152</v>
      </c>
      <c r="G14" s="2" t="n">
        <f aca="false">F17</f>
        <v>1469.02176896</v>
      </c>
    </row>
    <row r="15" customFormat="false" ht="15" hidden="false" customHeight="false" outlineLevel="0" collapsed="false">
      <c r="A15" s="0" t="s">
        <v>208</v>
      </c>
      <c r="B15" s="3" t="n">
        <f aca="false">-B14*$E$5</f>
        <v>-24</v>
      </c>
      <c r="C15" s="3" t="n">
        <f aca="false">-C14*$E$5</f>
        <v>-25.12</v>
      </c>
      <c r="D15" s="3" t="n">
        <f aca="false">-D14*$E$5</f>
        <v>-26.2176</v>
      </c>
      <c r="E15" s="3" t="n">
        <f aca="false">-E14*$E$5</f>
        <v>-27.293248</v>
      </c>
      <c r="F15" s="3" t="n">
        <f aca="false">-F14*$E$5</f>
        <v>-28.34738304</v>
      </c>
      <c r="G15" s="3" t="n">
        <f aca="false">-G14*$E$5</f>
        <v>-29.3804353792</v>
      </c>
    </row>
    <row r="16" customFormat="false" ht="15" hidden="false" customHeight="false" outlineLevel="0" collapsed="false">
      <c r="A16" s="0" t="s">
        <v>209</v>
      </c>
      <c r="B16" s="2" t="n">
        <f aca="false">$E$4</f>
        <v>80</v>
      </c>
      <c r="C16" s="2" t="n">
        <f aca="false">$E$4</f>
        <v>80</v>
      </c>
      <c r="D16" s="2" t="n">
        <f aca="false">$E$4</f>
        <v>80</v>
      </c>
      <c r="E16" s="2" t="n">
        <f aca="false">$E$4</f>
        <v>80</v>
      </c>
      <c r="F16" s="2" t="n">
        <f aca="false">$E$4</f>
        <v>80</v>
      </c>
      <c r="G16" s="2" t="n">
        <f aca="false">$E$4</f>
        <v>80</v>
      </c>
    </row>
    <row r="17" customFormat="false" ht="15" hidden="false" customHeight="false" outlineLevel="0" collapsed="false">
      <c r="A17" s="0" t="s">
        <v>210</v>
      </c>
      <c r="B17" s="2" t="n">
        <f aca="false">B14+B15+B16</f>
        <v>1256</v>
      </c>
      <c r="C17" s="2" t="n">
        <f aca="false">C14+C15+C16</f>
        <v>1310.88</v>
      </c>
      <c r="D17" s="2" t="n">
        <f aca="false">D14+D15+D16</f>
        <v>1364.6624</v>
      </c>
      <c r="E17" s="2" t="n">
        <f aca="false">E14+E15+E16</f>
        <v>1417.369152</v>
      </c>
      <c r="F17" s="2" t="n">
        <f aca="false">F14+F15+F16</f>
        <v>1469.02176896</v>
      </c>
      <c r="G17" s="2" t="n">
        <f aca="false">G14+G15+G16</f>
        <v>1519.6413335808</v>
      </c>
    </row>
    <row r="18" customFormat="false" ht="15" hidden="false" customHeight="false" outlineLevel="0" collapsed="false">
      <c r="A18" s="0" t="s">
        <v>4</v>
      </c>
      <c r="B18" s="2" t="n">
        <f aca="false">B17*$E$6</f>
        <v>119320</v>
      </c>
      <c r="C18" s="2" t="n">
        <f aca="false">C17*$E$6</f>
        <v>124533.6</v>
      </c>
      <c r="D18" s="2" t="n">
        <f aca="false">D17*$E$6</f>
        <v>129642.928</v>
      </c>
      <c r="E18" s="2" t="n">
        <f aca="false">E17*$E$6</f>
        <v>134650.06944</v>
      </c>
      <c r="F18" s="2" t="n">
        <f aca="false">F17*$E$6</f>
        <v>139557.0680512</v>
      </c>
      <c r="G18" s="2" t="n">
        <f aca="false">G17*$E$6</f>
        <v>144365.926690176</v>
      </c>
      <c r="H18" s="2" t="n">
        <f aca="false">SUM(B18:G18)</f>
        <v>792069.592181376</v>
      </c>
    </row>
    <row r="21" customFormat="false" ht="15" hidden="false" customHeight="false" outlineLevel="0" collapsed="false">
      <c r="A21" s="0" t="s">
        <v>211</v>
      </c>
      <c r="B21" s="2" t="n">
        <f aca="false">B6*SUMPRODUCT($B$10*(1-B5)^$B$25:$G$25+B4*(1-(1-B5)^$B$25:$G$25)/B5)</f>
        <v>691158.827474712</v>
      </c>
      <c r="C21" s="2" t="n">
        <f aca="false">C6*SUMPRODUCT($B$10*(1-C5)^$B$25:$G$25+C4*(1-(1-C5)^$B$25:$G$25)/C5)</f>
        <v>792069.592181376</v>
      </c>
      <c r="D21" s="2" t="n">
        <f aca="false">D6*SUMPRODUCT($B$10*(1-D5)^$B$25:$G$25+D4*(1-(1-D5)^$B$25:$G$25)/D5)</f>
        <v>870199.816790155</v>
      </c>
    </row>
    <row r="25" customFormat="false" ht="15" hidden="false" customHeight="false" outlineLevel="0" collapsed="false">
      <c r="A25" s="0" t="s">
        <v>212</v>
      </c>
      <c r="B25" s="0" t="n">
        <v>1</v>
      </c>
      <c r="C25" s="0" t="n">
        <v>2</v>
      </c>
      <c r="D25" s="0" t="n">
        <v>3</v>
      </c>
      <c r="E25" s="0" t="n">
        <v>4</v>
      </c>
      <c r="F25" s="0" t="n">
        <v>5</v>
      </c>
      <c r="G25" s="0" t="n">
        <v>6</v>
      </c>
    </row>
    <row r="28" customFormat="false" ht="15" hidden="false" customHeight="false" outlineLevel="0" collapsed="false">
      <c r="A28" s="0" t="s">
        <v>213</v>
      </c>
      <c r="B28" s="0" t="n">
        <v>85</v>
      </c>
      <c r="C28" s="0" t="n">
        <v>90</v>
      </c>
      <c r="D28" s="0" t="n">
        <v>95</v>
      </c>
      <c r="E28" s="0" t="n">
        <v>100</v>
      </c>
      <c r="F28" s="0" t="n">
        <v>105</v>
      </c>
    </row>
    <row r="29" customFormat="false" ht="15" hidden="false" customHeight="false" outlineLevel="0" collapsed="false">
      <c r="A29" s="1" t="n">
        <v>0.01</v>
      </c>
      <c r="B29" s="2" t="n">
        <f aca="false">B$28*SUMPRODUCT($B$10*(1-$A29)^$B$25:$G$25+$E$4*(1-(1-$A29)^$B$25:$G$25)/$A29)</f>
        <v>731377.109024022</v>
      </c>
      <c r="C29" s="2" t="n">
        <f aca="false">C$28*SUMPRODUCT($B$10*(1-$A29)^$B$25:$G$25+$E$4*(1-(1-$A29)^$B$25:$G$25)/$A29)</f>
        <v>774399.291907788</v>
      </c>
      <c r="D29" s="2" t="n">
        <f aca="false">D$28*SUMPRODUCT($B$10*(1-$A29)^$B$25:$G$25+$E$4*(1-(1-$A29)^$B$25:$G$25)/$A29)</f>
        <v>817421.474791554</v>
      </c>
      <c r="E29" s="2" t="n">
        <f aca="false">E$28*SUMPRODUCT($B$10*(1-$A29)^$B$25:$G$25+$E$4*(1-(1-$A29)^$B$25:$G$25)/$A29)</f>
        <v>860443.65767532</v>
      </c>
      <c r="F29" s="2" t="n">
        <f aca="false">F$28*SUMPRODUCT($B$10*(1-$A29)^$B$25:$G$25+$E$4*(1-(1-$A29)^$B$25:$G$25)/$A29)</f>
        <v>903465.840559086</v>
      </c>
    </row>
    <row r="30" customFormat="false" ht="15" hidden="false" customHeight="false" outlineLevel="0" collapsed="false">
      <c r="A30" s="1" t="n">
        <v>0.015</v>
      </c>
      <c r="B30" s="2" t="n">
        <f aca="false">B$28*SUMPRODUCT($B$10*(1-$A30)^$B$25:$G$25+$E$4*(1-(1-$A30)^$B$25:$G$25)/$A30)</f>
        <v>719944.379602304</v>
      </c>
      <c r="C30" s="2" t="n">
        <f aca="false">C$28*SUMPRODUCT($B$10*(1-$A30)^$B$25:$G$25+$E$4*(1-(1-$A30)^$B$25:$G$25)/$A30)</f>
        <v>762294.048990675</v>
      </c>
      <c r="D30" s="2" t="n">
        <f aca="false">D$28*SUMPRODUCT($B$10*(1-$A30)^$B$25:$G$25+$E$4*(1-(1-$A30)^$B$25:$G$25)/$A30)</f>
        <v>804643.718379046</v>
      </c>
      <c r="E30" s="2" t="n">
        <f aca="false">E$28*SUMPRODUCT($B$10*(1-$A30)^$B$25:$G$25+$E$4*(1-(1-$A30)^$B$25:$G$25)/$A30)</f>
        <v>846993.387767417</v>
      </c>
      <c r="F30" s="2" t="n">
        <f aca="false">F$28*SUMPRODUCT($B$10*(1-$A30)^$B$25:$G$25+$E$4*(1-(1-$A30)^$B$25:$G$25)/$A30)</f>
        <v>889343.057155788</v>
      </c>
    </row>
    <row r="31" customFormat="false" ht="15" hidden="false" customHeight="false" outlineLevel="0" collapsed="false">
      <c r="A31" s="1" t="n">
        <v>0.02</v>
      </c>
      <c r="B31" s="2" t="n">
        <f aca="false">B$28*SUMPRODUCT($B$10*(1-$A31)^$B$25:$G$25+$E$4*(1-(1-$A31)^$B$25:$G$25)/$A31)</f>
        <v>708693.845635968</v>
      </c>
      <c r="C31" s="2" t="n">
        <f aca="false">C$28*SUMPRODUCT($B$10*(1-$A31)^$B$25:$G$25+$E$4*(1-(1-$A31)^$B$25:$G$25)/$A31)</f>
        <v>750381.718908672</v>
      </c>
      <c r="D31" s="2" t="n">
        <f aca="false">D$28*SUMPRODUCT($B$10*(1-$A31)^$B$25:$G$25+$E$4*(1-(1-$A31)^$B$25:$G$25)/$A31)</f>
        <v>792069.592181376</v>
      </c>
      <c r="E31" s="2" t="n">
        <f aca="false">E$28*SUMPRODUCT($B$10*(1-$A31)^$B$25:$G$25+$E$4*(1-(1-$A31)^$B$25:$G$25)/$A31)</f>
        <v>833757.46545408</v>
      </c>
      <c r="F31" s="2" t="n">
        <f aca="false">F$28*SUMPRODUCT($B$10*(1-$A31)^$B$25:$G$25+$E$4*(1-(1-$A31)^$B$25:$G$25)/$A31)</f>
        <v>875445.338726784</v>
      </c>
    </row>
    <row r="32" customFormat="false" ht="15" hidden="false" customHeight="false" outlineLevel="0" collapsed="false">
      <c r="A32" s="1" t="n">
        <v>0.025</v>
      </c>
      <c r="B32" s="2" t="n">
        <f aca="false">B$28*SUMPRODUCT($B$10*(1-$A32)^$B$25:$G$25+$E$4*(1-(1-$A32)^$B$25:$G$25)/$A32)</f>
        <v>697622.83579834</v>
      </c>
      <c r="C32" s="2" t="n">
        <f aca="false">C$28*SUMPRODUCT($B$10*(1-$A32)^$B$25:$G$25+$E$4*(1-(1-$A32)^$B$25:$G$25)/$A32)</f>
        <v>738659.473198242</v>
      </c>
      <c r="D32" s="2" t="n">
        <f aca="false">D$28*SUMPRODUCT($B$10*(1-$A32)^$B$25:$G$25+$E$4*(1-(1-$A32)^$B$25:$G$25)/$A32)</f>
        <v>779696.110598145</v>
      </c>
      <c r="E32" s="2" t="n">
        <f aca="false">E$28*SUMPRODUCT($B$10*(1-$A32)^$B$25:$G$25+$E$4*(1-(1-$A32)^$B$25:$G$25)/$A32)</f>
        <v>820732.747998047</v>
      </c>
      <c r="F32" s="2" t="n">
        <f aca="false">F$28*SUMPRODUCT($B$10*(1-$A32)^$B$25:$G$25+$E$4*(1-(1-$A32)^$B$25:$G$25)/$A32)</f>
        <v>861769.385397949</v>
      </c>
    </row>
    <row r="33" customFormat="false" ht="15" hidden="false" customHeight="false" outlineLevel="0" collapsed="false">
      <c r="A33" s="1" t="n">
        <v>0.03</v>
      </c>
      <c r="B33" s="2" t="n">
        <f aca="false">B$28*SUMPRODUCT($B$10*(1-$A33)^$B$25:$G$25+$E$4*(1-(1-$A33)^$B$25:$G$25)/$A33)</f>
        <v>686728.710534918</v>
      </c>
      <c r="C33" s="2" t="n">
        <f aca="false">C$28*SUMPRODUCT($B$10*(1-$A33)^$B$25:$G$25+$E$4*(1-(1-$A33)^$B$25:$G$25)/$A33)</f>
        <v>727124.517036972</v>
      </c>
      <c r="D33" s="2" t="n">
        <f aca="false">D$28*SUMPRODUCT($B$10*(1-$A33)^$B$25:$G$25+$E$4*(1-(1-$A33)^$B$25:$G$25)/$A33)</f>
        <v>767520.323539026</v>
      </c>
      <c r="E33" s="2" t="n">
        <f aca="false">E$28*SUMPRODUCT($B$10*(1-$A33)^$B$25:$G$25+$E$4*(1-(1-$A33)^$B$25:$G$25)/$A33)</f>
        <v>807916.13004108</v>
      </c>
      <c r="F33" s="2" t="n">
        <f aca="false">F$28*SUMPRODUCT($B$10*(1-$A33)^$B$25:$G$25+$E$4*(1-(1-$A33)^$B$25:$G$25)/$A33)</f>
        <v>848311.936543134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A2" s="0" t="s">
        <v>58</v>
      </c>
      <c r="B2" s="0" t="s">
        <v>214</v>
      </c>
      <c r="C2" s="0" t="s">
        <v>215</v>
      </c>
    </row>
    <row r="3" customFormat="false" ht="15" hidden="false" customHeight="false" outlineLevel="0" collapsed="false">
      <c r="A3" s="0" t="s">
        <v>216</v>
      </c>
      <c r="B3" s="4" t="b">
        <f aca="false">BvA!D14=0</f>
        <v>1</v>
      </c>
      <c r="C3" s="2" t="n">
        <f aca="false">BvA!D14</f>
        <v>0</v>
      </c>
    </row>
    <row r="4" customFormat="false" ht="15" hidden="false" customHeight="false" outlineLevel="0" collapsed="false">
      <c r="A4" s="0" t="s">
        <v>217</v>
      </c>
      <c r="B4" s="4" t="b">
        <f aca="false">PivotLab!B10=0</f>
        <v>1</v>
      </c>
      <c r="C4" s="2" t="n">
        <f aca="false">PivotLab!B10</f>
        <v>0</v>
      </c>
    </row>
    <row r="5" customFormat="false" ht="15" hidden="false" customHeight="false" outlineLevel="0" collapsed="false">
      <c r="A5" s="0" t="s">
        <v>218</v>
      </c>
      <c r="B5" s="4" t="b">
        <f aca="false">ROUND(PVM!N8,6)=0</f>
        <v>1</v>
      </c>
      <c r="C5" s="0" t="n">
        <f aca="false">PVM!N8</f>
        <v>0</v>
      </c>
    </row>
    <row r="6" customFormat="false" ht="15" hidden="false" customHeight="false" outlineLevel="0" collapsed="false">
      <c r="A6" s="0" t="s">
        <v>219</v>
      </c>
      <c r="B6" s="4" t="b">
        <f aca="false">CostVar!B13=0</f>
        <v>1</v>
      </c>
      <c r="C6" s="3" t="n">
        <f aca="false">CostVar!B13</f>
        <v>0</v>
      </c>
    </row>
    <row r="7" customFormat="false" ht="15" hidden="false" customHeight="false" outlineLevel="0" collapsed="false">
      <c r="A7" s="0" t="s">
        <v>220</v>
      </c>
      <c r="B7" s="4" t="b">
        <f aca="false">BankRec!B19=0</f>
        <v>1</v>
      </c>
      <c r="C7" s="6" t="n">
        <f aca="false">BankRec!B19</f>
        <v>0</v>
      </c>
    </row>
    <row r="8" customFormat="false" ht="15" hidden="false" customHeight="false" outlineLevel="0" collapsed="false">
      <c r="A8" s="0" t="s">
        <v>221</v>
      </c>
      <c r="B8" s="4" t="b">
        <f aca="false">ROUND(Forecast!M17,9)=1</f>
        <v>1</v>
      </c>
      <c r="C8" s="13" t="n">
        <f aca="false">Forecast!M17</f>
        <v>1</v>
      </c>
    </row>
    <row r="9" customFormat="false" ht="15" hidden="false" customHeight="false" outlineLevel="0" collapsed="false">
      <c r="A9" s="0" t="s">
        <v>222</v>
      </c>
      <c r="B9" s="4" t="b">
        <f aca="false">ROUND(Drivers!H18-INDEX(Drivers!B21:D21,Drivers!C8),2)=0</f>
        <v>1</v>
      </c>
      <c r="C9" s="0" t="n">
        <f aca="false">Drivers!H18-INDEX(Drivers!B21:D21,Drivers!C8)</f>
        <v>0</v>
      </c>
    </row>
    <row r="10" customFormat="false" ht="15" hidden="false" customHeight="false" outlineLevel="0" collapsed="false">
      <c r="A10" s="0" t="s">
        <v>223</v>
      </c>
      <c r="B10" s="4" t="b">
        <f aca="false">COUNTIF(B3:B9,FALSE())=0</f>
        <v>1</v>
      </c>
    </row>
    <row r="12" customFormat="false" ht="15" hidden="false" customHeight="false" outlineLevel="0" collapsed="false">
      <c r="A12" s="0" t="s">
        <v>224</v>
      </c>
      <c r="C12" s="2" t="n">
        <f aca="false">ARSummary!B19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2026-09-30T00:27:36Z</dcterms:created>
  <dc:creator>openpyxl</dc:creator>
  <dc:description/>
  <dc:language>en-US</dc:language>
  <cp:lastModifiedBy/>
  <dcterms:modified xsi:type="dcterms:W3CDTF">2026-09-30T00:27:36Z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